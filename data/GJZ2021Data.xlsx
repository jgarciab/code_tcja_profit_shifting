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10.xml" ContentType="application/vnd.openxmlformats-officedocument.drawingml.chart+xml"/>
  <Override PartName="/xl/theme/themeOverride2.xml" ContentType="application/vnd.openxmlformats-officedocument.themeOverride+xml"/>
  <Override PartName="/xl/drawings/drawing1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zucman/Dropbox/GarciaJanskyZucman2021/"/>
    </mc:Choice>
  </mc:AlternateContent>
  <xr:revisionPtr revIDLastSave="0" documentId="13_ncr:1_{4A7F5666-66F2-9A45-90F5-1D0DA0BA5578}" xr6:coauthVersionLast="47" xr6:coauthVersionMax="47" xr10:uidLastSave="{00000000-0000-0000-0000-000000000000}"/>
  <bookViews>
    <workbookView xWindow="0" yWindow="500" windowWidth="25900" windowHeight="15280" activeTab="4" xr2:uid="{0665F925-9F19-D646-9439-A8CAFF3C4F07}"/>
  </bookViews>
  <sheets>
    <sheet name="MainTablesFigures" sheetId="4" r:id="rId1"/>
    <sheet name="Fig1A" sheetId="15" r:id="rId2"/>
    <sheet name="Fig3" sheetId="9" r:id="rId3"/>
    <sheet name="Fig5" sheetId="10" r:id="rId4"/>
    <sheet name="Data" sheetId="3" r:id="rId5"/>
    <sheet name="AppendixTableFigures" sheetId="5" r:id="rId6"/>
    <sheet name="FigA1" sheetId="13" r:id="rId7"/>
    <sheet name="FigA2" sheetId="14" r:id="rId8"/>
    <sheet name="FigA3" sheetId="16" r:id="rId9"/>
    <sheet name="FigA4" sheetId="2" r:id="rId10"/>
    <sheet name="RawSources" sheetId="18" r:id="rId11"/>
    <sheet name="WrightZucman" sheetId="1" r:id="rId12"/>
    <sheet name="PuertoRico" sheetId="6" r:id="rId13"/>
    <sheet name="PJ_2025" sheetId="19"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4" i="3" l="1"/>
  <c r="D7" i="19"/>
  <c r="D6" i="19"/>
  <c r="CO43" i="3"/>
  <c r="CO42" i="3"/>
  <c r="CO41" i="3"/>
  <c r="CO40" i="3"/>
  <c r="CO39" i="3"/>
  <c r="CO38" i="3"/>
  <c r="CO37" i="3"/>
  <c r="CO36" i="3"/>
  <c r="CO35" i="3"/>
  <c r="CO34" i="3"/>
  <c r="CO33" i="3"/>
  <c r="CO32" i="3"/>
  <c r="CO31" i="3"/>
  <c r="CO30" i="3"/>
  <c r="CO29" i="3"/>
  <c r="CO28" i="3"/>
  <c r="CO27" i="3"/>
  <c r="CO26" i="3"/>
  <c r="CO25" i="3"/>
  <c r="CO24" i="3"/>
  <c r="CO23" i="3"/>
  <c r="CO22" i="3"/>
  <c r="CO21" i="3"/>
  <c r="CO20" i="3"/>
  <c r="CO19" i="3"/>
  <c r="CO18" i="3"/>
  <c r="CO17" i="3"/>
  <c r="CO16" i="3"/>
  <c r="CO15" i="3"/>
  <c r="CO14" i="3"/>
  <c r="CO13" i="3"/>
  <c r="CO12" i="3"/>
  <c r="CO11" i="3"/>
  <c r="CO10" i="3"/>
  <c r="CO9" i="3"/>
  <c r="CO8" i="3"/>
  <c r="CO7" i="3"/>
  <c r="CO6" i="3"/>
  <c r="CO5" i="3"/>
  <c r="BI43" i="3"/>
  <c r="BI42" i="3"/>
  <c r="BI41" i="3"/>
  <c r="BI40" i="3"/>
  <c r="BI39" i="3"/>
  <c r="BI38" i="3"/>
  <c r="BI37" i="3"/>
  <c r="BI36" i="3"/>
  <c r="BI35" i="3"/>
  <c r="BI34" i="3"/>
  <c r="BI33" i="3"/>
  <c r="BI32" i="3"/>
  <c r="BI31" i="3"/>
  <c r="BI30" i="3"/>
  <c r="BI29" i="3"/>
  <c r="BI28" i="3"/>
  <c r="BI27" i="3"/>
  <c r="BI26" i="3"/>
  <c r="BI25" i="3"/>
  <c r="BI24" i="3"/>
  <c r="BI23" i="3"/>
  <c r="BI22" i="3"/>
  <c r="BI21" i="3"/>
  <c r="BI20" i="3"/>
  <c r="BI19" i="3"/>
  <c r="BI18" i="3"/>
  <c r="BI17" i="3"/>
  <c r="BI16" i="3"/>
  <c r="BI15" i="3"/>
  <c r="BI14" i="3"/>
  <c r="BI13" i="3"/>
  <c r="BI12" i="3"/>
  <c r="BI11" i="3"/>
  <c r="BI10" i="3"/>
  <c r="BI9" i="3"/>
  <c r="BI8" i="3"/>
  <c r="BI7" i="3"/>
  <c r="BI6" i="3"/>
  <c r="BI5" i="3"/>
  <c r="AX43" i="3"/>
  <c r="AV43" i="3"/>
  <c r="AX42" i="3"/>
  <c r="AV42" i="3"/>
  <c r="AX41" i="3"/>
  <c r="AV41" i="3"/>
  <c r="AX40" i="3"/>
  <c r="AV40" i="3"/>
  <c r="AX39" i="3"/>
  <c r="AV39" i="3"/>
  <c r="AX38" i="3"/>
  <c r="AV38" i="3"/>
  <c r="AX37" i="3"/>
  <c r="AV37" i="3"/>
  <c r="AX36" i="3"/>
  <c r="AV36" i="3"/>
  <c r="AX35" i="3"/>
  <c r="AV35" i="3"/>
  <c r="AX34" i="3"/>
  <c r="AV34" i="3"/>
  <c r="AX33" i="3"/>
  <c r="AV33" i="3"/>
  <c r="AX32" i="3"/>
  <c r="AV32" i="3"/>
  <c r="AX31" i="3"/>
  <c r="AV31" i="3"/>
  <c r="AX30" i="3"/>
  <c r="AV30" i="3"/>
  <c r="AX29" i="3"/>
  <c r="AV29" i="3"/>
  <c r="AX28" i="3"/>
  <c r="AV28" i="3"/>
  <c r="AX27" i="3"/>
  <c r="AV27" i="3"/>
  <c r="AX26" i="3"/>
  <c r="AV26" i="3"/>
  <c r="AX25" i="3"/>
  <c r="AV25" i="3"/>
  <c r="AX24" i="3"/>
  <c r="AV24" i="3"/>
  <c r="AX23" i="3"/>
  <c r="AV23" i="3"/>
  <c r="AX22" i="3"/>
  <c r="AV22" i="3"/>
  <c r="AX21" i="3"/>
  <c r="AV21" i="3"/>
  <c r="AX20" i="3"/>
  <c r="AV20" i="3"/>
  <c r="AX19" i="3"/>
  <c r="AV19" i="3"/>
  <c r="AX18" i="3"/>
  <c r="AV18" i="3"/>
  <c r="AX17" i="3"/>
  <c r="AV17" i="3"/>
  <c r="AX16" i="3"/>
  <c r="AV16" i="3"/>
  <c r="AX15" i="3"/>
  <c r="AV15" i="3"/>
  <c r="AX14" i="3"/>
  <c r="AV14" i="3"/>
  <c r="AX13" i="3"/>
  <c r="AV13" i="3"/>
  <c r="AX12" i="3"/>
  <c r="AV12" i="3"/>
  <c r="AX11" i="3"/>
  <c r="AV11" i="3"/>
  <c r="AX10" i="3"/>
  <c r="AV10" i="3"/>
  <c r="AX9" i="3"/>
  <c r="AV9" i="3"/>
  <c r="AX8" i="3"/>
  <c r="AV8" i="3"/>
  <c r="AX7" i="3"/>
  <c r="AV7" i="3"/>
  <c r="AX6" i="3"/>
  <c r="AV6" i="3"/>
  <c r="AX5" i="3"/>
  <c r="AV5" i="3"/>
  <c r="X43" i="3"/>
  <c r="AT42" i="3"/>
  <c r="AT40" i="3"/>
  <c r="AT41" i="3"/>
  <c r="S27" i="3"/>
  <c r="S28" i="3"/>
  <c r="S29" i="3"/>
  <c r="S30" i="3"/>
  <c r="S31" i="3"/>
  <c r="S32" i="3"/>
  <c r="S33" i="3"/>
  <c r="S34" i="3"/>
  <c r="S35" i="3"/>
  <c r="S36" i="3"/>
  <c r="S37" i="3"/>
  <c r="S38" i="3"/>
  <c r="S39" i="3"/>
  <c r="S40" i="3"/>
  <c r="S41" i="3"/>
  <c r="S42" i="3"/>
  <c r="DB40" i="3" l="1"/>
  <c r="DB41" i="3"/>
  <c r="Z49" i="3"/>
  <c r="J45" i="3"/>
  <c r="G45" i="3"/>
  <c r="D45" i="3"/>
  <c r="Q40" i="3"/>
  <c r="Q41"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7" i="3"/>
  <c r="K8" i="3"/>
  <c r="L8" i="3"/>
  <c r="K9" i="3"/>
  <c r="L9" i="3"/>
  <c r="K10" i="3"/>
  <c r="L10" i="3"/>
  <c r="K11" i="3"/>
  <c r="L11" i="3"/>
  <c r="K12" i="3"/>
  <c r="L12" i="3"/>
  <c r="K13" i="3"/>
  <c r="L13" i="3"/>
  <c r="K14" i="3"/>
  <c r="L14" i="3"/>
  <c r="K15" i="3"/>
  <c r="L15" i="3"/>
  <c r="K16" i="3"/>
  <c r="L16" i="3"/>
  <c r="K17" i="3"/>
  <c r="L17" i="3"/>
  <c r="K18" i="3"/>
  <c r="L18" i="3"/>
  <c r="K19" i="3"/>
  <c r="L19" i="3"/>
  <c r="K20" i="3"/>
  <c r="L20" i="3"/>
  <c r="K21" i="3"/>
  <c r="L21" i="3"/>
  <c r="K22" i="3"/>
  <c r="L22" i="3"/>
  <c r="K23" i="3"/>
  <c r="L23" i="3"/>
  <c r="K24" i="3"/>
  <c r="L24" i="3"/>
  <c r="K25" i="3"/>
  <c r="L25" i="3"/>
  <c r="K26" i="3"/>
  <c r="L26" i="3"/>
  <c r="K27" i="3"/>
  <c r="L27" i="3"/>
  <c r="K28" i="3"/>
  <c r="L28" i="3"/>
  <c r="K29" i="3"/>
  <c r="L29" i="3"/>
  <c r="K30" i="3"/>
  <c r="L30" i="3"/>
  <c r="K31" i="3"/>
  <c r="L31" i="3"/>
  <c r="K32" i="3"/>
  <c r="L32" i="3"/>
  <c r="K33" i="3"/>
  <c r="L33" i="3"/>
  <c r="K34" i="3"/>
  <c r="L34" i="3"/>
  <c r="K35" i="3"/>
  <c r="L35" i="3"/>
  <c r="K36" i="3"/>
  <c r="L36" i="3"/>
  <c r="K37" i="3"/>
  <c r="L37" i="3"/>
  <c r="K38" i="3"/>
  <c r="L38" i="3"/>
  <c r="K39" i="3"/>
  <c r="L39" i="3"/>
  <c r="K40" i="3"/>
  <c r="L40" i="3"/>
  <c r="K41" i="3"/>
  <c r="L41" i="3"/>
  <c r="K42" i="3"/>
  <c r="L42" i="3"/>
  <c r="K43" i="3"/>
  <c r="L43" i="3"/>
  <c r="L7" i="3"/>
  <c r="K7" i="3"/>
  <c r="BK5" i="3"/>
  <c r="BK6" i="3"/>
  <c r="BK7" i="3"/>
  <c r="BK8" i="3"/>
  <c r="BK9" i="3"/>
  <c r="BK10" i="3"/>
  <c r="BK11" i="3"/>
  <c r="BK12" i="3"/>
  <c r="BK13" i="3"/>
  <c r="BK14" i="3"/>
  <c r="BK15" i="3"/>
  <c r="BK16" i="3"/>
  <c r="BK17" i="3"/>
  <c r="BK18" i="3"/>
  <c r="BK19" i="3"/>
  <c r="BK20" i="3"/>
  <c r="BK21" i="3"/>
  <c r="BM22" i="3"/>
  <c r="BM23" i="3"/>
  <c r="BM24" i="3"/>
  <c r="BM25" i="3"/>
  <c r="BM26" i="3"/>
  <c r="BM27" i="3"/>
  <c r="BM28" i="3"/>
  <c r="BM29" i="3"/>
  <c r="BM30" i="3"/>
  <c r="BM31" i="3"/>
  <c r="BM32" i="3"/>
  <c r="BM33" i="3"/>
  <c r="BM34" i="3"/>
  <c r="BM35" i="3"/>
  <c r="BM36" i="3"/>
  <c r="BM37" i="3"/>
  <c r="BM38" i="3"/>
  <c r="BM39" i="3"/>
  <c r="BM40" i="3"/>
  <c r="BM41" i="3"/>
  <c r="BM42" i="3"/>
  <c r="BM43" i="3"/>
  <c r="CA7" i="3"/>
  <c r="CA8" i="3"/>
  <c r="CA9" i="3"/>
  <c r="CA10" i="3"/>
  <c r="CA11" i="3"/>
  <c r="CA12" i="3"/>
  <c r="CA13" i="3"/>
  <c r="CA14" i="3"/>
  <c r="CA15" i="3"/>
  <c r="CA16" i="3"/>
  <c r="CA17" i="3"/>
  <c r="CA18" i="3"/>
  <c r="CA19" i="3"/>
  <c r="CA20" i="3"/>
  <c r="CA21" i="3"/>
  <c r="CA22" i="3"/>
  <c r="CA23" i="3"/>
  <c r="CA24" i="3"/>
  <c r="CA25" i="3"/>
  <c r="CA26" i="3"/>
  <c r="CA27" i="3"/>
  <c r="CA28" i="3"/>
  <c r="CA29" i="3"/>
  <c r="CA30" i="3"/>
  <c r="CA31" i="3"/>
  <c r="CA32" i="3"/>
  <c r="CA33" i="3"/>
  <c r="CA34" i="3"/>
  <c r="CA35" i="3"/>
  <c r="CA36" i="3"/>
  <c r="CA37" i="3"/>
  <c r="CA38" i="3"/>
  <c r="CA39" i="3"/>
  <c r="CA40" i="3"/>
  <c r="CA41" i="3"/>
  <c r="CA42" i="3"/>
  <c r="O5" i="3"/>
  <c r="O12" i="3"/>
  <c r="BC7" i="3"/>
  <c r="BC8" i="3"/>
  <c r="BC9" i="3"/>
  <c r="BC10" i="3"/>
  <c r="BC11" i="3"/>
  <c r="BC12" i="3"/>
  <c r="BC13" i="3"/>
  <c r="BC14" i="3"/>
  <c r="BC15" i="3"/>
  <c r="BC16" i="3"/>
  <c r="BC17" i="3"/>
  <c r="BC18" i="3"/>
  <c r="BC19" i="3"/>
  <c r="BC20" i="3"/>
  <c r="BC21" i="3"/>
  <c r="BC22" i="3"/>
  <c r="BC23" i="3"/>
  <c r="BC24" i="3"/>
  <c r="BC25" i="3"/>
  <c r="BC26" i="3"/>
  <c r="BC27" i="3"/>
  <c r="BC28" i="3"/>
  <c r="BC29" i="3"/>
  <c r="BC30" i="3"/>
  <c r="BC31" i="3"/>
  <c r="BC32" i="3"/>
  <c r="BC33" i="3"/>
  <c r="BC34" i="3"/>
  <c r="BC35" i="3"/>
  <c r="BC36" i="3"/>
  <c r="BC37" i="3"/>
  <c r="BC38" i="3"/>
  <c r="BC6" i="3"/>
  <c r="BC5" i="3"/>
  <c r="CX17" i="3" l="1"/>
  <c r="CX18" i="3"/>
  <c r="CX19" i="3"/>
  <c r="CX20" i="3"/>
  <c r="CX39" i="3"/>
  <c r="CX40" i="3"/>
  <c r="CX41" i="3"/>
  <c r="CX42" i="3"/>
  <c r="CX12" i="3" l="1"/>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5" i="3"/>
  <c r="CJ6" i="3"/>
  <c r="CJ7" i="3"/>
  <c r="CJ8" i="3"/>
  <c r="CJ9" i="3"/>
  <c r="CJ10" i="3"/>
  <c r="CJ11" i="3"/>
  <c r="CJ12" i="3"/>
  <c r="CJ13" i="3"/>
  <c r="CJ14" i="3"/>
  <c r="CJ15" i="3"/>
  <c r="CJ16" i="3"/>
  <c r="CJ17" i="3"/>
  <c r="CJ18" i="3"/>
  <c r="CJ19" i="3"/>
  <c r="CJ20" i="3"/>
  <c r="CJ21" i="3"/>
  <c r="CJ22" i="3"/>
  <c r="CJ23" i="3"/>
  <c r="CJ24" i="3"/>
  <c r="CJ25" i="3"/>
  <c r="CJ26" i="3"/>
  <c r="CJ27" i="3"/>
  <c r="CJ28" i="3"/>
  <c r="CJ29" i="3"/>
  <c r="CJ30" i="3"/>
  <c r="CJ31" i="3"/>
  <c r="CJ32" i="3"/>
  <c r="CJ33" i="3"/>
  <c r="CJ34" i="3"/>
  <c r="CJ35" i="3"/>
  <c r="CJ36" i="3"/>
  <c r="CJ37" i="3"/>
  <c r="CJ38" i="3"/>
  <c r="CJ39" i="3"/>
  <c r="CJ40" i="3"/>
  <c r="CJ41" i="3"/>
  <c r="CJ42" i="3"/>
  <c r="CJ43" i="3"/>
  <c r="CJ5" i="3"/>
  <c r="AY5" i="3"/>
  <c r="BE38" i="3" l="1"/>
  <c r="BE30" i="3"/>
  <c r="BE22" i="3"/>
  <c r="BE14" i="3"/>
  <c r="BE6" i="3"/>
  <c r="BE37" i="3"/>
  <c r="BE29" i="3"/>
  <c r="BE21" i="3"/>
  <c r="BE13" i="3"/>
  <c r="BE12" i="3"/>
  <c r="BE19" i="3"/>
  <c r="BE42" i="3"/>
  <c r="BE18" i="3"/>
  <c r="BE41" i="3"/>
  <c r="BE33" i="3"/>
  <c r="BE25" i="3"/>
  <c r="BE17" i="3"/>
  <c r="BE9" i="3"/>
  <c r="BE36" i="3"/>
  <c r="BE20" i="3"/>
  <c r="BE27" i="3"/>
  <c r="BE11" i="3"/>
  <c r="BE26" i="3"/>
  <c r="BE40" i="3"/>
  <c r="BE32" i="3"/>
  <c r="BE24" i="3"/>
  <c r="BE16" i="3"/>
  <c r="BE8" i="3"/>
  <c r="BE28" i="3"/>
  <c r="BE35" i="3"/>
  <c r="BE34" i="3"/>
  <c r="BE10" i="3"/>
  <c r="BE5" i="3"/>
  <c r="AZ5" i="3"/>
  <c r="BB5" i="3" s="1"/>
  <c r="BE43" i="3"/>
  <c r="BE39" i="3"/>
  <c r="BE31" i="3"/>
  <c r="BE23" i="3"/>
  <c r="BE15" i="3"/>
  <c r="BE7" i="3"/>
  <c r="AY6" i="3" l="1"/>
  <c r="AY7" i="3"/>
  <c r="AY8" i="3"/>
  <c r="AY9" i="3"/>
  <c r="AY10" i="3"/>
  <c r="AY11" i="3"/>
  <c r="AY12" i="3"/>
  <c r="AY13" i="3"/>
  <c r="AY14" i="3"/>
  <c r="AY15" i="3"/>
  <c r="AY16" i="3"/>
  <c r="AY17" i="3"/>
  <c r="AY18" i="3"/>
  <c r="AY19" i="3"/>
  <c r="AY20" i="3"/>
  <c r="AY21" i="3"/>
  <c r="W5" i="3"/>
  <c r="W22" i="3"/>
  <c r="W12" i="3"/>
  <c r="X17" i="3"/>
  <c r="AY22" i="3"/>
  <c r="AY23" i="3"/>
  <c r="AY24" i="3"/>
  <c r="AY25" i="3"/>
  <c r="AY26" i="3"/>
  <c r="AY27" i="3"/>
  <c r="AY28" i="3"/>
  <c r="AY29" i="3"/>
  <c r="AY30" i="3"/>
  <c r="AY31" i="3"/>
  <c r="AY32" i="3"/>
  <c r="AY33" i="3"/>
  <c r="AY34" i="3"/>
  <c r="AY35" i="3"/>
  <c r="AY36" i="3"/>
  <c r="AY37" i="3"/>
  <c r="AY38" i="3"/>
  <c r="AY39" i="3"/>
  <c r="AY40" i="3"/>
  <c r="AY41" i="3"/>
  <c r="AY42" i="3"/>
  <c r="AY43" i="3"/>
  <c r="X5" i="3" l="1"/>
  <c r="X12" i="3"/>
  <c r="O21" i="3"/>
  <c r="O22" i="3"/>
  <c r="O23" i="3"/>
  <c r="O24" i="3"/>
  <c r="O25" i="3"/>
  <c r="O26" i="3"/>
  <c r="W27" i="3"/>
  <c r="O27" i="3"/>
  <c r="W28" i="3"/>
  <c r="O28" i="3"/>
  <c r="W29" i="3"/>
  <c r="O29" i="3"/>
  <c r="W30" i="3"/>
  <c r="O30" i="3"/>
  <c r="O31" i="3"/>
  <c r="W31" i="3"/>
  <c r="W32" i="3"/>
  <c r="O32" i="3"/>
  <c r="W33" i="3"/>
  <c r="O33" i="3"/>
  <c r="W34" i="3"/>
  <c r="O34" i="3"/>
  <c r="O35" i="3"/>
  <c r="W35" i="3"/>
  <c r="W36" i="3"/>
  <c r="O36" i="3"/>
  <c r="W37" i="3"/>
  <c r="O37" i="3"/>
  <c r="O38" i="3"/>
  <c r="W38" i="3"/>
  <c r="W39" i="3"/>
  <c r="W40" i="3"/>
  <c r="W41" i="3"/>
  <c r="W42" i="3"/>
  <c r="CX21" i="3" l="1"/>
  <c r="CX35" i="3"/>
  <c r="CX23" i="3"/>
  <c r="CX32" i="3"/>
  <c r="CX34" i="3"/>
  <c r="CX30" i="3"/>
  <c r="CX26" i="3"/>
  <c r="CX36" i="3"/>
  <c r="CX22" i="3"/>
  <c r="CX31" i="3"/>
  <c r="CX38" i="3"/>
  <c r="CX25" i="3"/>
  <c r="CX28" i="3"/>
  <c r="CX27" i="3"/>
  <c r="CX37" i="3"/>
  <c r="CX33" i="3"/>
  <c r="CX29" i="3"/>
  <c r="CX24" i="3"/>
  <c r="X22" i="3"/>
  <c r="X42" i="3"/>
  <c r="X40" i="3"/>
  <c r="X41" i="3"/>
  <c r="X39" i="3"/>
  <c r="X38" i="3"/>
  <c r="X29" i="3"/>
  <c r="X36" i="3"/>
  <c r="X35" i="3"/>
  <c r="X31" i="3"/>
  <c r="X32" i="3"/>
  <c r="X28" i="3"/>
  <c r="X37" i="3"/>
  <c r="X33" i="3"/>
  <c r="X34" i="3"/>
  <c r="X30" i="3"/>
  <c r="X27" i="3"/>
  <c r="BA48" i="3" l="1"/>
  <c r="P43" i="3" l="1"/>
  <c r="Y43" i="3" l="1"/>
  <c r="Q43" i="3"/>
  <c r="AZ41" i="3" l="1"/>
  <c r="BB41" i="3" s="1"/>
  <c r="AL41" i="3" l="1"/>
  <c r="AZ39" i="3"/>
  <c r="BB39" i="3" s="1"/>
  <c r="AZ24" i="3"/>
  <c r="BB24" i="3" s="1"/>
  <c r="AZ28" i="3"/>
  <c r="BB28" i="3" s="1"/>
  <c r="AZ36" i="3"/>
  <c r="BB36" i="3" s="1"/>
  <c r="AZ38" i="3"/>
  <c r="BB38" i="3" s="1"/>
  <c r="AZ23" i="3"/>
  <c r="BB23" i="3" s="1"/>
  <c r="AZ25" i="3"/>
  <c r="BB25" i="3" s="1"/>
  <c r="AZ27" i="3"/>
  <c r="BB27" i="3" s="1"/>
  <c r="AZ31" i="3"/>
  <c r="BB31" i="3" s="1"/>
  <c r="AZ40" i="3"/>
  <c r="BB40" i="3" s="1"/>
  <c r="AZ34" i="3"/>
  <c r="BB34" i="3" s="1"/>
  <c r="AZ42" i="3"/>
  <c r="BB42" i="3" s="1"/>
  <c r="AZ26" i="3"/>
  <c r="BB26" i="3" s="1"/>
  <c r="AZ30" i="3"/>
  <c r="BB30" i="3" s="1"/>
  <c r="AZ33" i="3"/>
  <c r="BB33" i="3" s="1"/>
  <c r="AZ35" i="3"/>
  <c r="BB35" i="3" s="1"/>
  <c r="AZ43" i="3"/>
  <c r="BB43" i="3" s="1"/>
  <c r="AZ29" i="3"/>
  <c r="BB29" i="3" s="1"/>
  <c r="AZ32" i="3"/>
  <c r="BB32" i="3" s="1"/>
  <c r="AZ37" i="3"/>
  <c r="BB37" i="3" s="1"/>
  <c r="AZ22" i="3"/>
  <c r="BB22" i="3" s="1"/>
  <c r="CT41" i="3" l="1"/>
  <c r="CS41" i="3"/>
  <c r="AL25" i="3"/>
  <c r="AL22" i="3"/>
  <c r="AL26" i="3"/>
  <c r="AL37" i="3"/>
  <c r="AL39" i="3"/>
  <c r="AL23" i="3"/>
  <c r="AL32" i="3"/>
  <c r="AL34" i="3"/>
  <c r="AL36" i="3"/>
  <c r="AL35" i="3"/>
  <c r="AL28" i="3"/>
  <c r="AL24" i="3"/>
  <c r="AL42" i="3"/>
  <c r="AL38" i="3"/>
  <c r="AL29" i="3"/>
  <c r="AL40" i="3"/>
  <c r="AL43" i="3"/>
  <c r="AL33" i="3"/>
  <c r="AL31" i="3"/>
  <c r="AL30" i="3"/>
  <c r="AL27" i="3"/>
  <c r="AZ16" i="3"/>
  <c r="BB16" i="3" s="1"/>
  <c r="AZ8" i="3"/>
  <c r="BB8" i="3" s="1"/>
  <c r="AZ12" i="3"/>
  <c r="BB12" i="3" s="1"/>
  <c r="AZ11" i="3"/>
  <c r="BB11" i="3" s="1"/>
  <c r="AZ18" i="3"/>
  <c r="BB18" i="3" s="1"/>
  <c r="AZ7" i="3"/>
  <c r="BB7" i="3" s="1"/>
  <c r="AZ19" i="3"/>
  <c r="BB19" i="3" s="1"/>
  <c r="AZ10" i="3"/>
  <c r="BB10" i="3" s="1"/>
  <c r="AZ14" i="3"/>
  <c r="BB14" i="3" s="1"/>
  <c r="AZ15" i="3"/>
  <c r="BB15" i="3" s="1"/>
  <c r="CT27" i="3" l="1"/>
  <c r="CT42" i="3"/>
  <c r="CT39" i="3"/>
  <c r="CT35" i="3"/>
  <c r="CT24" i="3"/>
  <c r="CT28" i="3"/>
  <c r="CT33" i="3"/>
  <c r="CT34" i="3"/>
  <c r="CT37" i="3"/>
  <c r="CT26" i="3"/>
  <c r="CT22" i="3"/>
  <c r="CT36" i="3"/>
  <c r="CT30" i="3"/>
  <c r="CT31" i="3"/>
  <c r="CT25" i="3"/>
  <c r="CT40" i="3"/>
  <c r="CT29" i="3"/>
  <c r="CT32" i="3"/>
  <c r="CT38" i="3"/>
  <c r="CT23" i="3"/>
  <c r="CS38" i="3"/>
  <c r="CS23" i="3"/>
  <c r="CS27" i="3"/>
  <c r="CS24" i="3"/>
  <c r="CS31" i="3"/>
  <c r="CS33" i="3"/>
  <c r="CS25" i="3"/>
  <c r="CS42" i="3"/>
  <c r="CS37" i="3"/>
  <c r="CS28" i="3"/>
  <c r="CS22" i="3"/>
  <c r="CS34" i="3"/>
  <c r="CS39" i="3"/>
  <c r="CS30" i="3"/>
  <c r="CS26" i="3"/>
  <c r="CS35" i="3"/>
  <c r="CS36" i="3"/>
  <c r="CS40" i="3"/>
  <c r="CS29" i="3"/>
  <c r="CS32" i="3"/>
  <c r="AL7" i="3"/>
  <c r="AL15" i="3"/>
  <c r="AL8" i="3"/>
  <c r="AL14" i="3"/>
  <c r="AL18" i="3"/>
  <c r="AL11" i="3"/>
  <c r="AL12" i="3"/>
  <c r="AL5" i="3"/>
  <c r="AL16" i="3"/>
  <c r="AL10" i="3"/>
  <c r="AL19" i="3"/>
  <c r="AZ9" i="3"/>
  <c r="BB9" i="3" s="1"/>
  <c r="AZ13" i="3"/>
  <c r="BB13" i="3" s="1"/>
  <c r="AZ6" i="3"/>
  <c r="BB6" i="3" s="1"/>
  <c r="AZ21" i="3"/>
  <c r="BB21" i="3" s="1"/>
  <c r="AZ20" i="3"/>
  <c r="BB20" i="3" s="1"/>
  <c r="AZ17" i="3"/>
  <c r="BB17" i="3" s="1"/>
  <c r="CS5" i="3" l="1"/>
  <c r="CT5" i="3"/>
  <c r="CT18" i="3"/>
  <c r="CT12" i="3"/>
  <c r="CT19" i="3"/>
  <c r="CS12" i="3"/>
  <c r="CS18" i="3"/>
  <c r="CS19" i="3"/>
  <c r="AL21" i="3"/>
  <c r="AL13" i="3"/>
  <c r="AL9" i="3"/>
  <c r="AL17" i="3"/>
  <c r="AL20" i="3"/>
  <c r="AL6" i="3"/>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6" i="6"/>
  <c r="P5" i="3"/>
  <c r="P6" i="3"/>
  <c r="DA6" i="3" s="1"/>
  <c r="P7" i="3"/>
  <c r="P8" i="3"/>
  <c r="P9" i="3"/>
  <c r="P10" i="3"/>
  <c r="P11" i="3"/>
  <c r="P12" i="3"/>
  <c r="DB12" i="3" s="1"/>
  <c r="P13" i="3"/>
  <c r="P14" i="3"/>
  <c r="P15" i="3"/>
  <c r="P16" i="3"/>
  <c r="P17" i="3"/>
  <c r="P18" i="3"/>
  <c r="P19" i="3"/>
  <c r="P20" i="3"/>
  <c r="P21" i="3"/>
  <c r="P22" i="3"/>
  <c r="P23" i="3"/>
  <c r="P24" i="3"/>
  <c r="P25" i="3"/>
  <c r="P26" i="3"/>
  <c r="P27" i="3"/>
  <c r="P28" i="3"/>
  <c r="P29" i="3"/>
  <c r="P30" i="3"/>
  <c r="P31" i="3"/>
  <c r="P32" i="3"/>
  <c r="P33" i="3"/>
  <c r="P34" i="3"/>
  <c r="P35" i="3"/>
  <c r="P36" i="3"/>
  <c r="P37" i="3"/>
  <c r="P38" i="3"/>
  <c r="P39" i="3"/>
  <c r="P42" i="3"/>
  <c r="DB42" i="3" s="1"/>
  <c r="E40" i="6"/>
  <c r="E38" i="6"/>
  <c r="E36" i="6"/>
  <c r="E32" i="6"/>
  <c r="E30" i="6"/>
  <c r="Q20" i="3" l="1"/>
  <c r="DB20" i="3"/>
  <c r="Q32" i="3"/>
  <c r="DB32" i="3"/>
  <c r="DA16" i="3"/>
  <c r="DB16" i="3"/>
  <c r="Q31" i="3"/>
  <c r="DB31" i="3"/>
  <c r="Q23" i="3"/>
  <c r="DB23" i="3"/>
  <c r="DA15" i="3"/>
  <c r="DB15" i="3"/>
  <c r="DA7" i="3"/>
  <c r="DB7" i="3"/>
  <c r="Q35" i="3"/>
  <c r="DB35" i="3"/>
  <c r="Q24" i="3"/>
  <c r="DB24" i="3"/>
  <c r="DA8" i="3"/>
  <c r="DB8" i="3"/>
  <c r="Q39" i="3"/>
  <c r="DB39" i="3"/>
  <c r="Q38" i="3"/>
  <c r="DB38" i="3"/>
  <c r="Q30" i="3"/>
  <c r="DB30" i="3"/>
  <c r="Q22" i="3"/>
  <c r="DB22" i="3"/>
  <c r="DA14" i="3"/>
  <c r="DB14" i="3"/>
  <c r="Q37" i="3"/>
  <c r="DB37" i="3"/>
  <c r="Q29" i="3"/>
  <c r="DB29" i="3"/>
  <c r="Q21" i="3"/>
  <c r="DB21" i="3"/>
  <c r="DA13" i="3"/>
  <c r="DB13" i="3"/>
  <c r="Q36" i="3"/>
  <c r="DB36" i="3"/>
  <c r="Q27" i="3"/>
  <c r="DB27" i="3"/>
  <c r="DA11" i="3"/>
  <c r="DB11" i="3"/>
  <c r="Q26" i="3"/>
  <c r="DB26" i="3"/>
  <c r="DA10" i="3"/>
  <c r="DB10" i="3"/>
  <c r="Q28" i="3"/>
  <c r="DB28" i="3"/>
  <c r="Q19" i="3"/>
  <c r="DB19" i="3"/>
  <c r="Q34" i="3"/>
  <c r="DB34" i="3"/>
  <c r="Q18" i="3"/>
  <c r="DB18" i="3"/>
  <c r="Q33" i="3"/>
  <c r="DB33" i="3"/>
  <c r="Q25" i="3"/>
  <c r="DB25" i="3"/>
  <c r="Q17" i="3"/>
  <c r="DB17" i="3"/>
  <c r="DA9" i="3"/>
  <c r="DB9" i="3"/>
  <c r="DB43" i="3"/>
  <c r="Q42" i="3"/>
  <c r="Z27" i="3"/>
  <c r="Z34" i="3"/>
  <c r="Z38" i="3"/>
  <c r="Z30" i="3"/>
  <c r="Z22" i="3"/>
  <c r="Z5" i="3"/>
  <c r="Z36" i="3"/>
  <c r="Z12" i="3"/>
  <c r="Z41" i="3"/>
  <c r="Z33" i="3"/>
  <c r="Z17" i="3"/>
  <c r="Z29" i="3"/>
  <c r="Z37" i="3"/>
  <c r="Z28" i="3"/>
  <c r="Z35" i="3"/>
  <c r="Z42" i="3"/>
  <c r="Z40" i="3"/>
  <c r="Z32" i="3"/>
  <c r="Z39" i="3"/>
  <c r="Z31" i="3"/>
  <c r="DA22" i="3"/>
  <c r="DA17" i="3"/>
  <c r="DA30" i="3"/>
  <c r="DA37" i="3"/>
  <c r="DA21" i="3"/>
  <c r="DA5" i="3"/>
  <c r="Q5" i="3"/>
  <c r="DA28" i="3"/>
  <c r="DA12" i="3"/>
  <c r="Q12" i="3"/>
  <c r="DA42" i="3"/>
  <c r="DA26" i="3"/>
  <c r="DA40" i="3"/>
  <c r="DA38" i="3"/>
  <c r="DA29" i="3"/>
  <c r="DA36" i="3"/>
  <c r="DA20" i="3"/>
  <c r="DA35" i="3"/>
  <c r="DA27" i="3"/>
  <c r="DA19" i="3"/>
  <c r="DA34" i="3"/>
  <c r="DA18" i="3"/>
  <c r="DA41" i="3"/>
  <c r="DA33" i="3"/>
  <c r="DA25" i="3"/>
  <c r="DA32" i="3"/>
  <c r="DA24" i="3"/>
  <c r="DA39" i="3"/>
  <c r="DA31" i="3"/>
  <c r="DA23" i="3"/>
  <c r="CY30" i="3"/>
  <c r="CY36" i="3"/>
  <c r="CY20" i="3"/>
  <c r="CY12" i="3"/>
  <c r="CY37" i="3"/>
  <c r="CY28" i="3"/>
  <c r="CY35" i="3"/>
  <c r="CY27" i="3"/>
  <c r="CY19" i="3"/>
  <c r="AA6" i="3"/>
  <c r="CY29" i="3"/>
  <c r="CY18" i="3"/>
  <c r="CY41" i="3"/>
  <c r="CY33" i="3"/>
  <c r="CY25" i="3"/>
  <c r="CY17" i="3"/>
  <c r="CY22" i="3"/>
  <c r="CY21" i="3"/>
  <c r="CY42" i="3"/>
  <c r="CY26" i="3"/>
  <c r="CY40" i="3"/>
  <c r="CY32" i="3"/>
  <c r="CY24" i="3"/>
  <c r="CY38" i="3"/>
  <c r="CY34" i="3"/>
  <c r="CY39" i="3"/>
  <c r="CY31" i="3"/>
  <c r="CY23" i="3"/>
  <c r="AA13" i="3"/>
  <c r="CY13" i="3"/>
  <c r="AA14" i="3"/>
  <c r="CY14" i="3"/>
  <c r="AA11" i="3"/>
  <c r="CY11" i="3"/>
  <c r="AA10" i="3"/>
  <c r="CY10" i="3"/>
  <c r="AA9" i="3"/>
  <c r="CY9" i="3"/>
  <c r="AA8" i="3"/>
  <c r="CY8" i="3"/>
  <c r="AA16" i="3"/>
  <c r="CY16" i="3"/>
  <c r="AA15" i="3"/>
  <c r="CY15" i="3"/>
  <c r="AA7" i="3"/>
  <c r="CY7" i="3"/>
  <c r="AA21" i="3"/>
  <c r="AA20" i="3"/>
  <c r="AA18" i="3"/>
  <c r="AA25" i="3"/>
  <c r="AA19" i="3"/>
  <c r="AA26" i="3"/>
  <c r="AA24" i="3"/>
  <c r="AA23" i="3"/>
  <c r="AA12" i="3"/>
  <c r="AB12" i="3"/>
  <c r="AA38" i="3"/>
  <c r="AB38" i="3"/>
  <c r="AA30" i="3"/>
  <c r="AB30" i="3"/>
  <c r="AA22" i="3"/>
  <c r="AB22" i="3"/>
  <c r="AA37" i="3"/>
  <c r="AB37" i="3"/>
  <c r="AA29" i="3"/>
  <c r="AB29" i="3"/>
  <c r="AA5" i="3"/>
  <c r="Y5" i="3"/>
  <c r="AB5" i="3"/>
  <c r="AA28" i="3"/>
  <c r="AB28" i="3"/>
  <c r="AA27" i="3"/>
  <c r="AB27" i="3"/>
  <c r="AA42" i="3"/>
  <c r="AB42" i="3"/>
  <c r="AA41" i="3"/>
  <c r="AB41" i="3"/>
  <c r="AA33" i="3"/>
  <c r="AB33" i="3"/>
  <c r="AA17" i="3"/>
  <c r="AB17" i="3"/>
  <c r="AA34" i="3"/>
  <c r="AB34" i="3"/>
  <c r="AA32" i="3"/>
  <c r="AB32" i="3"/>
  <c r="AA36" i="3"/>
  <c r="AB36" i="3"/>
  <c r="AA35" i="3"/>
  <c r="AB35" i="3"/>
  <c r="AA40" i="3"/>
  <c r="AB40" i="3"/>
  <c r="AA39" i="3"/>
  <c r="AB39" i="3"/>
  <c r="AA31" i="3"/>
  <c r="AB31" i="3"/>
  <c r="CT17" i="3"/>
  <c r="CT21" i="3"/>
  <c r="CT20" i="3"/>
  <c r="CS20" i="3"/>
  <c r="CS17" i="3"/>
  <c r="CS21" i="3"/>
  <c r="Y37" i="3"/>
  <c r="BG37" i="3" s="1"/>
  <c r="Y36" i="3"/>
  <c r="BG36" i="3" s="1"/>
  <c r="Y28" i="3"/>
  <c r="BG28" i="3" s="1"/>
  <c r="Y20" i="3"/>
  <c r="BG20" i="3" s="1"/>
  <c r="Y12" i="3"/>
  <c r="BG12" i="3" s="1"/>
  <c r="Y29" i="3"/>
  <c r="BG29" i="3" s="1"/>
  <c r="Y34" i="3"/>
  <c r="BG34" i="3" s="1"/>
  <c r="Y10" i="3"/>
  <c r="BG10" i="3" s="1"/>
  <c r="Y25" i="3"/>
  <c r="BG25" i="3" s="1"/>
  <c r="Y9" i="3"/>
  <c r="BG9" i="3" s="1"/>
  <c r="Y40" i="3"/>
  <c r="BG40" i="3" s="1"/>
  <c r="Y24" i="3"/>
  <c r="BG24" i="3" s="1"/>
  <c r="Y16" i="3"/>
  <c r="BG16" i="3" s="1"/>
  <c r="Y8" i="3"/>
  <c r="BG8" i="3" s="1"/>
  <c r="Y21" i="3"/>
  <c r="BG21" i="3" s="1"/>
  <c r="Y35" i="3"/>
  <c r="BG35" i="3" s="1"/>
  <c r="Y19" i="3"/>
  <c r="BG19" i="3" s="1"/>
  <c r="Y42" i="3"/>
  <c r="BG42" i="3" s="1"/>
  <c r="Y18" i="3"/>
  <c r="BG18" i="3" s="1"/>
  <c r="Y41" i="3"/>
  <c r="BG41" i="3" s="1"/>
  <c r="Y32" i="3"/>
  <c r="BG32" i="3" s="1"/>
  <c r="Y39" i="3"/>
  <c r="BG39" i="3" s="1"/>
  <c r="Y31" i="3"/>
  <c r="BG31" i="3" s="1"/>
  <c r="Y23" i="3"/>
  <c r="BG23" i="3" s="1"/>
  <c r="Y15" i="3"/>
  <c r="BG15" i="3" s="1"/>
  <c r="Y7" i="3"/>
  <c r="BG7" i="3" s="1"/>
  <c r="Y13" i="3"/>
  <c r="BG13" i="3" s="1"/>
  <c r="Y27" i="3"/>
  <c r="BG27" i="3" s="1"/>
  <c r="Y11" i="3"/>
  <c r="BG11" i="3" s="1"/>
  <c r="Y26" i="3"/>
  <c r="BG26" i="3" s="1"/>
  <c r="Y33" i="3"/>
  <c r="BG33" i="3" s="1"/>
  <c r="Y17" i="3"/>
  <c r="BG17" i="3" s="1"/>
  <c r="Y38" i="3"/>
  <c r="BG38" i="3" s="1"/>
  <c r="Y30" i="3"/>
  <c r="BG30" i="3" s="1"/>
  <c r="Y22" i="3"/>
  <c r="BG22" i="3" s="1"/>
  <c r="Y14" i="3"/>
  <c r="BG14" i="3" s="1"/>
  <c r="Y6" i="3"/>
  <c r="R5" i="3" l="1"/>
  <c r="T5" i="3" s="1"/>
  <c r="BG5" i="3"/>
  <c r="CM6" i="3"/>
  <c r="BG6" i="3"/>
  <c r="CZ16" i="3"/>
  <c r="CW16" i="3"/>
  <c r="CW24" i="3"/>
  <c r="R24" i="3"/>
  <c r="T24" i="3" s="1"/>
  <c r="U24" i="3" s="1"/>
  <c r="CW33" i="3"/>
  <c r="R33" i="3"/>
  <c r="CW31" i="3"/>
  <c r="R31" i="3"/>
  <c r="R21" i="3"/>
  <c r="T21" i="3" s="1"/>
  <c r="U21" i="3" s="1"/>
  <c r="CW21" i="3"/>
  <c r="CW34" i="3"/>
  <c r="R34" i="3"/>
  <c r="CW32" i="3"/>
  <c r="R32" i="3"/>
  <c r="CW26" i="3"/>
  <c r="R26" i="3"/>
  <c r="T26" i="3" s="1"/>
  <c r="U26" i="3" s="1"/>
  <c r="CZ11" i="3"/>
  <c r="CW11" i="3"/>
  <c r="CW12" i="3"/>
  <c r="R12" i="3"/>
  <c r="T12" i="3" s="1"/>
  <c r="U12" i="3" s="1"/>
  <c r="CW41" i="3"/>
  <c r="R41" i="3"/>
  <c r="CW18" i="3"/>
  <c r="R18" i="3"/>
  <c r="T18" i="3" s="1"/>
  <c r="U18" i="3" s="1"/>
  <c r="CZ9" i="3"/>
  <c r="CW9" i="3"/>
  <c r="CZ8" i="3"/>
  <c r="CW8" i="3"/>
  <c r="CZ14" i="3"/>
  <c r="CW14" i="3"/>
  <c r="CW22" i="3"/>
  <c r="R22" i="3"/>
  <c r="T22" i="3" s="1"/>
  <c r="U22" i="3" s="1"/>
  <c r="CW40" i="3"/>
  <c r="R40" i="3"/>
  <c r="CW30" i="3"/>
  <c r="R30" i="3"/>
  <c r="CZ7" i="3"/>
  <c r="CW7" i="3"/>
  <c r="R42" i="3"/>
  <c r="CW42" i="3"/>
  <c r="CW36" i="3"/>
  <c r="R36" i="3"/>
  <c r="CW38" i="3"/>
  <c r="R38" i="3"/>
  <c r="CZ15" i="3"/>
  <c r="CW15" i="3"/>
  <c r="CW19" i="3"/>
  <c r="R19" i="3"/>
  <c r="T19" i="3" s="1"/>
  <c r="U19" i="3" s="1"/>
  <c r="R25" i="3"/>
  <c r="T25" i="3" s="1"/>
  <c r="U25" i="3" s="1"/>
  <c r="CW25" i="3"/>
  <c r="R37" i="3"/>
  <c r="CW37" i="3"/>
  <c r="R39" i="3"/>
  <c r="CW39" i="3"/>
  <c r="AI39" i="3"/>
  <c r="CW29" i="3"/>
  <c r="R29" i="3"/>
  <c r="CW27" i="3"/>
  <c r="R27" i="3"/>
  <c r="CW20" i="3"/>
  <c r="R20" i="3"/>
  <c r="T20" i="3" s="1"/>
  <c r="U20" i="3" s="1"/>
  <c r="CZ13" i="3"/>
  <c r="CW13" i="3"/>
  <c r="CW28" i="3"/>
  <c r="R28" i="3"/>
  <c r="R17" i="3"/>
  <c r="T17" i="3" s="1"/>
  <c r="U17" i="3" s="1"/>
  <c r="CW17" i="3"/>
  <c r="R23" i="3"/>
  <c r="T23" i="3" s="1"/>
  <c r="CW23" i="3"/>
  <c r="CW35" i="3"/>
  <c r="R35" i="3"/>
  <c r="CZ10" i="3"/>
  <c r="CW10" i="3"/>
  <c r="CB29" i="3"/>
  <c r="CC29" i="3"/>
  <c r="CD29" i="3"/>
  <c r="CG29" i="3"/>
  <c r="CF29" i="3"/>
  <c r="CE29" i="3"/>
  <c r="CB23" i="3"/>
  <c r="CC23" i="3"/>
  <c r="CD23" i="3"/>
  <c r="CG23" i="3"/>
  <c r="CE23" i="3"/>
  <c r="CF23" i="3"/>
  <c r="CB39" i="3"/>
  <c r="CC39" i="3"/>
  <c r="CG39" i="3"/>
  <c r="CE39" i="3"/>
  <c r="CD39" i="3"/>
  <c r="CF39" i="3"/>
  <c r="CB33" i="3"/>
  <c r="CC33" i="3"/>
  <c r="CD33" i="3"/>
  <c r="CG33" i="3"/>
  <c r="CE33" i="3"/>
  <c r="CF33" i="3"/>
  <c r="CD19" i="3"/>
  <c r="CB19" i="3"/>
  <c r="CC19" i="3"/>
  <c r="CG19" i="3"/>
  <c r="CE19" i="3"/>
  <c r="CF19" i="3"/>
  <c r="CB36" i="3"/>
  <c r="CD36" i="3"/>
  <c r="CC36" i="3"/>
  <c r="CG36" i="3"/>
  <c r="CE36" i="3"/>
  <c r="CF36" i="3"/>
  <c r="CB26" i="3"/>
  <c r="CC26" i="3"/>
  <c r="CD26" i="3"/>
  <c r="CG26" i="3"/>
  <c r="CF26" i="3"/>
  <c r="CE26" i="3"/>
  <c r="CB5" i="3"/>
  <c r="CC5" i="3"/>
  <c r="CD5" i="3"/>
  <c r="CE5" i="3"/>
  <c r="CF5" i="3"/>
  <c r="CG5" i="3"/>
  <c r="CD17" i="3"/>
  <c r="CB17" i="3"/>
  <c r="CC17" i="3"/>
  <c r="CG17" i="3"/>
  <c r="CE17" i="3"/>
  <c r="CF17" i="3"/>
  <c r="CD27" i="3"/>
  <c r="CB27" i="3"/>
  <c r="CC27" i="3"/>
  <c r="CG27" i="3"/>
  <c r="CF27" i="3"/>
  <c r="CE27" i="3"/>
  <c r="CB32" i="3"/>
  <c r="CD32" i="3"/>
  <c r="CC32" i="3"/>
  <c r="CG32" i="3"/>
  <c r="CE32" i="3"/>
  <c r="CF32" i="3"/>
  <c r="CB38" i="3"/>
  <c r="CC38" i="3"/>
  <c r="CD38" i="3"/>
  <c r="CG38" i="3"/>
  <c r="CE38" i="3"/>
  <c r="CF38" i="3"/>
  <c r="CE12" i="3"/>
  <c r="CF12" i="3"/>
  <c r="CG12" i="3"/>
  <c r="CC12" i="3"/>
  <c r="CD12" i="3"/>
  <c r="CB12" i="3"/>
  <c r="CD37" i="3"/>
  <c r="CB37" i="3"/>
  <c r="CC37" i="3"/>
  <c r="CG37" i="3"/>
  <c r="CE37" i="3"/>
  <c r="CF37" i="3"/>
  <c r="CB24" i="3"/>
  <c r="CD24" i="3"/>
  <c r="CC24" i="3"/>
  <c r="CG24" i="3"/>
  <c r="CE24" i="3"/>
  <c r="CF24" i="3"/>
  <c r="CC42" i="3"/>
  <c r="CB42" i="3"/>
  <c r="CG42" i="3"/>
  <c r="CE42" i="3"/>
  <c r="CD42" i="3"/>
  <c r="CF42" i="3"/>
  <c r="CB22" i="3"/>
  <c r="CD22" i="3"/>
  <c r="CC22" i="3"/>
  <c r="CG22" i="3"/>
  <c r="CE22" i="3"/>
  <c r="CF22" i="3"/>
  <c r="CB35" i="3"/>
  <c r="CC35" i="3"/>
  <c r="CD35" i="3"/>
  <c r="CG35" i="3"/>
  <c r="CF35" i="3"/>
  <c r="CE35" i="3"/>
  <c r="CD31" i="3"/>
  <c r="CB31" i="3"/>
  <c r="CC31" i="3"/>
  <c r="CG31" i="3"/>
  <c r="CE31" i="3"/>
  <c r="CF31" i="3"/>
  <c r="CB25" i="3"/>
  <c r="CC25" i="3"/>
  <c r="CD25" i="3"/>
  <c r="CG25" i="3"/>
  <c r="CE25" i="3"/>
  <c r="CF25" i="3"/>
  <c r="CD34" i="3"/>
  <c r="CB34" i="3"/>
  <c r="CC34" i="3"/>
  <c r="CG34" i="3"/>
  <c r="CF34" i="3"/>
  <c r="CE34" i="3"/>
  <c r="CD20" i="3"/>
  <c r="CB20" i="3"/>
  <c r="CC20" i="3"/>
  <c r="CG20" i="3"/>
  <c r="CE20" i="3"/>
  <c r="CF20" i="3"/>
  <c r="CB40" i="3"/>
  <c r="CC40" i="3"/>
  <c r="CG40" i="3"/>
  <c r="CD40" i="3"/>
  <c r="CF40" i="3"/>
  <c r="CE40" i="3"/>
  <c r="CB28" i="3"/>
  <c r="CD28" i="3"/>
  <c r="CC28" i="3"/>
  <c r="CG28" i="3"/>
  <c r="CE28" i="3"/>
  <c r="CF28" i="3"/>
  <c r="CB30" i="3"/>
  <c r="CD30" i="3"/>
  <c r="CC30" i="3"/>
  <c r="CG30" i="3"/>
  <c r="CE30" i="3"/>
  <c r="CF30" i="3"/>
  <c r="CB41" i="3"/>
  <c r="CC41" i="3"/>
  <c r="CG41" i="3"/>
  <c r="CF41" i="3"/>
  <c r="CD41" i="3"/>
  <c r="CE41" i="3"/>
  <c r="CD21" i="3"/>
  <c r="CB21" i="3"/>
  <c r="CC21" i="3"/>
  <c r="CG21" i="3"/>
  <c r="CE21" i="3"/>
  <c r="CF21" i="3"/>
  <c r="CB18" i="3"/>
  <c r="CD18" i="3"/>
  <c r="CC18" i="3"/>
  <c r="CG18" i="3"/>
  <c r="CF18" i="3"/>
  <c r="CE18" i="3"/>
  <c r="CZ37" i="3"/>
  <c r="CZ41" i="3"/>
  <c r="CZ27" i="3"/>
  <c r="CZ29" i="3"/>
  <c r="CZ30" i="3"/>
  <c r="CZ24" i="3"/>
  <c r="CZ38" i="3"/>
  <c r="CZ42" i="3"/>
  <c r="CZ40" i="3"/>
  <c r="CZ17" i="3"/>
  <c r="CM5" i="3"/>
  <c r="U5" i="3"/>
  <c r="CZ32" i="3"/>
  <c r="CZ22" i="3"/>
  <c r="CZ18" i="3"/>
  <c r="CZ12" i="3"/>
  <c r="CZ20" i="3"/>
  <c r="CZ23" i="3"/>
  <c r="U23" i="3"/>
  <c r="CZ19" i="3"/>
  <c r="CZ25" i="3"/>
  <c r="CZ28" i="3"/>
  <c r="CZ33" i="3"/>
  <c r="CZ31" i="3"/>
  <c r="CZ35" i="3"/>
  <c r="CZ26" i="3"/>
  <c r="CZ39" i="3"/>
  <c r="CZ21" i="3"/>
  <c r="CZ34" i="3"/>
  <c r="CZ36" i="3"/>
  <c r="CZ6" i="3"/>
  <c r="CY43" i="3"/>
  <c r="CZ5" i="3"/>
  <c r="CM12" i="3"/>
  <c r="CM42" i="3"/>
  <c r="CM15" i="3"/>
  <c r="CM9" i="3"/>
  <c r="CM20" i="3"/>
  <c r="CM30" i="3"/>
  <c r="AI30" i="3"/>
  <c r="CM40" i="3"/>
  <c r="CM17" i="3"/>
  <c r="CM23" i="3"/>
  <c r="CM19" i="3"/>
  <c r="CM25" i="3"/>
  <c r="CM28" i="3"/>
  <c r="CM24" i="3"/>
  <c r="CM38" i="3"/>
  <c r="AI38" i="3"/>
  <c r="CM31" i="3"/>
  <c r="CM26" i="3"/>
  <c r="CM39" i="3"/>
  <c r="CM21" i="3"/>
  <c r="CM34" i="3"/>
  <c r="CM36" i="3"/>
  <c r="CM18" i="3"/>
  <c r="CM7" i="3"/>
  <c r="CM35" i="3"/>
  <c r="CM14" i="3"/>
  <c r="CM11" i="3"/>
  <c r="CM32" i="3"/>
  <c r="CM8" i="3"/>
  <c r="CM37" i="3"/>
  <c r="CM13" i="3"/>
  <c r="CM33" i="3"/>
  <c r="CM10" i="3"/>
  <c r="CM22" i="3"/>
  <c r="CM27" i="3"/>
  <c r="CM41" i="3"/>
  <c r="CM16" i="3"/>
  <c r="CM29" i="3"/>
  <c r="AI5" i="3"/>
  <c r="AI6" i="3"/>
  <c r="AI36" i="3"/>
  <c r="AI14" i="3"/>
  <c r="AI22" i="3"/>
  <c r="AI29" i="3"/>
  <c r="AI17" i="3"/>
  <c r="AI23" i="3"/>
  <c r="AI19" i="3"/>
  <c r="AI25" i="3"/>
  <c r="AI28" i="3"/>
  <c r="AI31" i="3"/>
  <c r="AI21" i="3"/>
  <c r="AI32" i="3"/>
  <c r="AI41" i="3"/>
  <c r="AI18" i="3"/>
  <c r="AI24" i="3"/>
  <c r="AI12" i="3"/>
  <c r="AI33" i="3"/>
  <c r="AI35" i="3"/>
  <c r="AI26" i="3"/>
  <c r="AI34" i="3"/>
  <c r="AI11" i="3"/>
  <c r="AI8" i="3"/>
  <c r="AI37" i="3"/>
  <c r="AI7" i="3"/>
  <c r="AI42" i="3"/>
  <c r="AI40" i="3"/>
  <c r="AI10" i="3"/>
  <c r="AI27" i="3"/>
  <c r="AI16" i="3"/>
  <c r="AI13" i="3"/>
  <c r="AI15" i="3"/>
  <c r="AI9" i="3"/>
  <c r="AI20" i="3"/>
  <c r="R63" i="1"/>
  <c r="R62" i="1"/>
  <c r="R61" i="1"/>
  <c r="R58" i="1"/>
  <c r="R56" i="1"/>
  <c r="R55" i="1"/>
  <c r="R53" i="1"/>
  <c r="R50" i="1"/>
  <c r="R48" i="1"/>
  <c r="M25" i="1"/>
  <c r="L25" i="1"/>
  <c r="K25" i="1"/>
  <c r="N24" i="1"/>
  <c r="M24" i="1"/>
  <c r="L24" i="1"/>
  <c r="K24" i="1"/>
  <c r="J24" i="1"/>
  <c r="N23" i="1"/>
  <c r="L23" i="1"/>
  <c r="K23" i="1"/>
  <c r="M22" i="1"/>
  <c r="N22" i="1"/>
  <c r="L22" i="1"/>
  <c r="K22" i="1"/>
  <c r="J22" i="1"/>
  <c r="N21" i="1"/>
  <c r="M21" i="1"/>
  <c r="L21" i="1"/>
  <c r="K21" i="1"/>
  <c r="J21" i="1"/>
  <c r="N20" i="1"/>
  <c r="L20" i="1"/>
  <c r="N19" i="1"/>
  <c r="M19" i="1"/>
  <c r="L19" i="1"/>
  <c r="K19" i="1"/>
  <c r="J19" i="1"/>
  <c r="N18" i="1"/>
  <c r="M18" i="1"/>
  <c r="L18" i="1"/>
  <c r="K18" i="1"/>
  <c r="J18" i="1"/>
  <c r="I18" i="1"/>
  <c r="N17" i="1"/>
  <c r="M17" i="1"/>
  <c r="L17" i="1"/>
  <c r="K17" i="1"/>
  <c r="J17" i="1"/>
  <c r="R17" i="1"/>
  <c r="N16" i="1"/>
  <c r="M16" i="1"/>
  <c r="L16" i="1"/>
  <c r="K16" i="1"/>
  <c r="I16" i="1"/>
  <c r="J16" i="1"/>
  <c r="R16" i="1"/>
  <c r="R15" i="1"/>
  <c r="N15" i="1"/>
  <c r="L15" i="1"/>
  <c r="K15" i="1"/>
  <c r="I15" i="1"/>
  <c r="R14" i="1"/>
  <c r="N14" i="1"/>
  <c r="L14" i="1"/>
  <c r="M13" i="1"/>
  <c r="L13" i="1"/>
  <c r="K13" i="1"/>
  <c r="I12" i="1"/>
  <c r="N12" i="1"/>
  <c r="L12" i="1"/>
  <c r="K12" i="1"/>
  <c r="N11" i="1"/>
  <c r="M11" i="1"/>
  <c r="L11" i="1"/>
  <c r="K11" i="1"/>
  <c r="J11" i="1"/>
  <c r="I11" i="1"/>
  <c r="N10" i="1"/>
  <c r="M10" i="1"/>
  <c r="L10" i="1"/>
  <c r="K10" i="1"/>
  <c r="J10" i="1"/>
  <c r="I10" i="1"/>
  <c r="T27" i="3" l="1"/>
  <c r="U27" i="3" s="1"/>
  <c r="T34" i="3"/>
  <c r="U34" i="3" s="1"/>
  <c r="T36" i="3"/>
  <c r="U36" i="3" s="1"/>
  <c r="T29" i="3"/>
  <c r="U29" i="3" s="1"/>
  <c r="T37" i="3"/>
  <c r="U37" i="3" s="1"/>
  <c r="T30" i="3"/>
  <c r="U30" i="3" s="1"/>
  <c r="T28" i="3"/>
  <c r="U28" i="3" s="1"/>
  <c r="T40" i="3"/>
  <c r="U40" i="3" s="1"/>
  <c r="T35" i="3"/>
  <c r="U35" i="3" s="1"/>
  <c r="T42" i="3"/>
  <c r="U42" i="3" s="1"/>
  <c r="T31" i="3"/>
  <c r="U31" i="3" s="1"/>
  <c r="T39" i="3"/>
  <c r="U39" i="3" s="1"/>
  <c r="T41" i="3"/>
  <c r="U41" i="3" s="1"/>
  <c r="T32" i="3"/>
  <c r="U32" i="3" s="1"/>
  <c r="T33" i="3"/>
  <c r="U33" i="3" s="1"/>
  <c r="T38" i="3"/>
  <c r="U38" i="3" s="1"/>
  <c r="S43" i="3"/>
  <c r="BG43" i="3"/>
  <c r="CW43" i="3"/>
  <c r="CZ43" i="3"/>
  <c r="AI43" i="3"/>
  <c r="AD43" i="3" s="1"/>
  <c r="R43" i="3"/>
  <c r="CM43" i="3"/>
  <c r="CH12" i="3"/>
  <c r="CH20" i="3"/>
  <c r="CH37" i="3"/>
  <c r="CH27" i="3"/>
  <c r="CH35" i="3"/>
  <c r="CH21" i="3"/>
  <c r="CH31" i="3"/>
  <c r="CH42" i="3"/>
  <c r="CH41" i="3"/>
  <c r="CH23" i="3"/>
  <c r="CH24" i="3"/>
  <c r="CH39" i="3"/>
  <c r="CH28" i="3"/>
  <c r="CH25" i="3"/>
  <c r="CH5" i="3"/>
  <c r="CH33" i="3"/>
  <c r="CH36" i="3"/>
  <c r="CH40" i="3"/>
  <c r="CH32" i="3"/>
  <c r="CH18" i="3"/>
  <c r="CH38" i="3"/>
  <c r="CH34" i="3"/>
  <c r="CH17" i="3"/>
  <c r="CH19" i="3"/>
  <c r="CH26" i="3"/>
  <c r="CH30" i="3"/>
  <c r="CH22" i="3"/>
  <c r="CH29" i="3"/>
  <c r="AD31" i="3"/>
  <c r="CU31" i="3" s="1"/>
  <c r="AD33" i="3"/>
  <c r="CU33" i="3" s="1"/>
  <c r="AD28" i="3"/>
  <c r="CQ28" i="3" s="1"/>
  <c r="AD25" i="3"/>
  <c r="CU25" i="3" s="1"/>
  <c r="AD30" i="3"/>
  <c r="CQ30" i="3" s="1"/>
  <c r="AD13" i="3"/>
  <c r="CN13" i="3" s="1"/>
  <c r="AD37" i="3"/>
  <c r="CQ37" i="3" s="1"/>
  <c r="AD24" i="3"/>
  <c r="CN24" i="3" s="1"/>
  <c r="AD19" i="3"/>
  <c r="CQ19" i="3" s="1"/>
  <c r="AD38" i="3"/>
  <c r="CQ38" i="3" s="1"/>
  <c r="AD40" i="3"/>
  <c r="CQ40" i="3" s="1"/>
  <c r="AD14" i="3"/>
  <c r="CN14" i="3" s="1"/>
  <c r="AD42" i="3"/>
  <c r="CN42" i="3" s="1"/>
  <c r="AD7" i="3"/>
  <c r="CN7" i="3" s="1"/>
  <c r="AD16" i="3"/>
  <c r="CN16" i="3" s="1"/>
  <c r="AD18" i="3"/>
  <c r="CU18" i="3" s="1"/>
  <c r="AD5" i="3"/>
  <c r="CN5" i="3" s="1"/>
  <c r="AD27" i="3"/>
  <c r="CN27" i="3" s="1"/>
  <c r="AD11" i="3"/>
  <c r="CN11" i="3" s="1"/>
  <c r="AD41" i="3"/>
  <c r="CQ41" i="3" s="1"/>
  <c r="AD17" i="3"/>
  <c r="CQ17" i="3" s="1"/>
  <c r="AD20" i="3"/>
  <c r="CN20" i="3" s="1"/>
  <c r="AD15" i="3"/>
  <c r="CN15" i="3" s="1"/>
  <c r="AD6" i="3"/>
  <c r="CN6" i="3" s="1"/>
  <c r="AD8" i="3"/>
  <c r="CN8" i="3" s="1"/>
  <c r="AD39" i="3"/>
  <c r="CU39" i="3" s="1"/>
  <c r="AD34" i="3"/>
  <c r="CN34" i="3" s="1"/>
  <c r="AD32" i="3"/>
  <c r="CN32" i="3" s="1"/>
  <c r="AD29" i="3"/>
  <c r="CU29" i="3" s="1"/>
  <c r="AD35" i="3"/>
  <c r="CN35" i="3" s="1"/>
  <c r="AD9" i="3"/>
  <c r="CN9" i="3" s="1"/>
  <c r="AD36" i="3"/>
  <c r="CQ36" i="3" s="1"/>
  <c r="AD12" i="3"/>
  <c r="CQ12" i="3" s="1"/>
  <c r="AD23" i="3"/>
  <c r="CN23" i="3" s="1"/>
  <c r="AD10" i="3"/>
  <c r="CN10" i="3" s="1"/>
  <c r="AD26" i="3"/>
  <c r="CQ26" i="3" s="1"/>
  <c r="AD21" i="3"/>
  <c r="CQ21" i="3" s="1"/>
  <c r="AD22" i="3"/>
  <c r="CN22" i="3" s="1"/>
  <c r="AA43" i="3"/>
  <c r="DA43" i="3"/>
  <c r="U13" i="3"/>
  <c r="U6" i="3"/>
  <c r="AM15" i="3"/>
  <c r="AM27" i="3"/>
  <c r="AM37" i="3"/>
  <c r="AM24" i="3"/>
  <c r="AM19" i="3"/>
  <c r="AM35" i="3"/>
  <c r="AM39" i="3"/>
  <c r="AM8" i="3"/>
  <c r="AM18" i="3"/>
  <c r="AM23" i="3"/>
  <c r="AM31" i="3"/>
  <c r="AM36" i="3"/>
  <c r="AM6" i="3"/>
  <c r="AM7" i="3"/>
  <c r="AM9" i="3"/>
  <c r="AM42" i="3"/>
  <c r="AM26" i="3"/>
  <c r="AM21" i="3"/>
  <c r="AM22" i="3"/>
  <c r="AM20" i="3"/>
  <c r="AM40" i="3"/>
  <c r="AM34" i="3"/>
  <c r="AM32" i="3"/>
  <c r="AM29" i="3"/>
  <c r="CR5" i="3"/>
  <c r="AM5" i="3"/>
  <c r="AM13" i="3"/>
  <c r="AM38" i="3"/>
  <c r="AM33" i="3"/>
  <c r="AM28" i="3"/>
  <c r="AM14" i="3"/>
  <c r="AM16" i="3"/>
  <c r="AM12" i="3"/>
  <c r="AM25" i="3"/>
  <c r="AM30" i="3"/>
  <c r="AM10" i="3"/>
  <c r="AM11" i="3"/>
  <c r="AM41" i="3"/>
  <c r="AM17" i="3"/>
  <c r="CR9" i="3"/>
  <c r="CR42" i="3"/>
  <c r="CR26" i="3"/>
  <c r="CR21" i="3"/>
  <c r="CR22" i="3"/>
  <c r="CR15" i="3"/>
  <c r="CR7" i="3"/>
  <c r="CR35" i="3"/>
  <c r="CR31" i="3"/>
  <c r="CR36" i="3"/>
  <c r="CR27" i="3"/>
  <c r="CR37" i="3"/>
  <c r="CR24" i="3"/>
  <c r="CR19" i="3"/>
  <c r="CR6" i="3"/>
  <c r="CR39" i="3"/>
  <c r="CR8" i="3"/>
  <c r="CR18" i="3"/>
  <c r="CR23" i="3"/>
  <c r="CR34" i="3"/>
  <c r="CR16" i="3"/>
  <c r="CR12" i="3"/>
  <c r="CR17" i="3"/>
  <c r="CR29" i="3"/>
  <c r="CR28" i="3"/>
  <c r="CR30" i="3"/>
  <c r="CR10" i="3"/>
  <c r="CR41" i="3"/>
  <c r="CR11" i="3"/>
  <c r="CR38" i="3"/>
  <c r="CR25" i="3"/>
  <c r="CR20" i="3"/>
  <c r="CR40" i="3"/>
  <c r="CR32" i="3"/>
  <c r="CR13" i="3"/>
  <c r="CR33" i="3"/>
  <c r="CR14" i="3"/>
  <c r="CA43" i="3"/>
  <c r="H10" i="1"/>
  <c r="H16" i="1"/>
  <c r="H11" i="1"/>
  <c r="H18" i="1"/>
  <c r="R12" i="1"/>
  <c r="J12" i="1"/>
  <c r="M12" i="1"/>
  <c r="N13" i="1"/>
  <c r="I17" i="1"/>
  <c r="H17" i="1" s="1"/>
  <c r="R19" i="1"/>
  <c r="R22" i="1"/>
  <c r="I22" i="1"/>
  <c r="H22" i="1" s="1"/>
  <c r="J25" i="1"/>
  <c r="N25" i="1"/>
  <c r="R30" i="1"/>
  <c r="R34" i="1"/>
  <c r="R41" i="1"/>
  <c r="R52" i="1"/>
  <c r="R46" i="1"/>
  <c r="R43" i="1"/>
  <c r="R38" i="1"/>
  <c r="R27" i="1"/>
  <c r="R13" i="1"/>
  <c r="R40" i="1"/>
  <c r="I13" i="1"/>
  <c r="K20" i="1"/>
  <c r="R31" i="1"/>
  <c r="R59" i="1"/>
  <c r="R24" i="1"/>
  <c r="I24" i="1"/>
  <c r="H24" i="1" s="1"/>
  <c r="R32" i="1"/>
  <c r="I14" i="1"/>
  <c r="R21" i="1"/>
  <c r="I21" i="1"/>
  <c r="H21" i="1" s="1"/>
  <c r="R29" i="1"/>
  <c r="K14" i="1"/>
  <c r="R26" i="1"/>
  <c r="R37" i="1"/>
  <c r="R45" i="1"/>
  <c r="R11" i="1"/>
  <c r="M15" i="1"/>
  <c r="M23" i="1"/>
  <c r="R10" i="1"/>
  <c r="M14" i="1"/>
  <c r="R18" i="1"/>
  <c r="I19" i="1"/>
  <c r="H19" i="1" s="1"/>
  <c r="R20" i="1"/>
  <c r="I20" i="1"/>
  <c r="M20" i="1"/>
  <c r="R28" i="1"/>
  <c r="R39" i="1"/>
  <c r="R47" i="1"/>
  <c r="R54" i="1"/>
  <c r="R35" i="1"/>
  <c r="J15" i="1"/>
  <c r="R23" i="1"/>
  <c r="I23" i="1"/>
  <c r="R42" i="1"/>
  <c r="R51" i="1"/>
  <c r="J14" i="1"/>
  <c r="J23" i="1"/>
  <c r="J13" i="1"/>
  <c r="J20" i="1"/>
  <c r="R25" i="1"/>
  <c r="I25" i="1"/>
  <c r="R33" i="1"/>
  <c r="R36" i="1"/>
  <c r="R44" i="1"/>
  <c r="R49" i="1"/>
  <c r="R57" i="1"/>
  <c r="R60" i="1"/>
  <c r="CN31" i="3" l="1"/>
  <c r="CU42" i="3"/>
  <c r="CR43" i="3"/>
  <c r="AM43" i="3"/>
  <c r="CN43" i="3"/>
  <c r="CN33" i="3"/>
  <c r="CU19" i="3"/>
  <c r="CQ33" i="3"/>
  <c r="CN19" i="3"/>
  <c r="CU36" i="3"/>
  <c r="CQ31" i="3"/>
  <c r="CU5" i="3"/>
  <c r="CQ5" i="3"/>
  <c r="CQ42" i="3"/>
  <c r="CQ34" i="3"/>
  <c r="CN39" i="3"/>
  <c r="CN12" i="3"/>
  <c r="CQ39" i="3"/>
  <c r="CN38" i="3"/>
  <c r="CU27" i="3"/>
  <c r="CU23" i="3"/>
  <c r="CU12" i="3"/>
  <c r="CQ27" i="3"/>
  <c r="CQ23" i="3"/>
  <c r="CN28" i="3"/>
  <c r="CU38" i="3"/>
  <c r="CN40" i="3"/>
  <c r="CN18" i="3"/>
  <c r="CQ18" i="3"/>
  <c r="CU32" i="3"/>
  <c r="CN36" i="3"/>
  <c r="CN26" i="3"/>
  <c r="CQ35" i="3"/>
  <c r="CN30" i="3"/>
  <c r="CQ24" i="3"/>
  <c r="CQ22" i="3"/>
  <c r="CN17" i="3"/>
  <c r="CN21" i="3"/>
  <c r="CU20" i="3"/>
  <c r="CN25" i="3"/>
  <c r="CN41" i="3"/>
  <c r="CU35" i="3"/>
  <c r="CQ25" i="3"/>
  <c r="CQ29" i="3"/>
  <c r="CU37" i="3"/>
  <c r="CU30" i="3"/>
  <c r="CU21" i="3"/>
  <c r="CU26" i="3"/>
  <c r="CQ32" i="3"/>
  <c r="CQ20" i="3"/>
  <c r="CN37" i="3"/>
  <c r="CU17" i="3"/>
  <c r="CN29" i="3"/>
  <c r="CU22" i="3"/>
  <c r="CU24" i="3"/>
  <c r="CU34" i="3"/>
  <c r="CU40" i="3"/>
  <c r="CU28" i="3"/>
  <c r="CU41" i="3"/>
  <c r="AG43" i="3"/>
  <c r="AS43" i="3" s="1"/>
  <c r="AF43" i="3"/>
  <c r="AK43" i="3"/>
  <c r="AN43" i="3" s="1"/>
  <c r="AO43" i="3" s="1"/>
  <c r="U7" i="3"/>
  <c r="U14" i="3"/>
  <c r="AK13" i="3"/>
  <c r="AN13" i="3" s="1"/>
  <c r="AO13" i="3" s="1"/>
  <c r="AK22" i="3"/>
  <c r="AN22" i="3" s="1"/>
  <c r="AO22" i="3" s="1"/>
  <c r="AK9" i="3"/>
  <c r="AN9" i="3" s="1"/>
  <c r="AO9" i="3" s="1"/>
  <c r="AK37" i="3"/>
  <c r="AN37" i="3" s="1"/>
  <c r="AO37" i="3" s="1"/>
  <c r="AK41" i="3"/>
  <c r="AN41" i="3" s="1"/>
  <c r="AO41" i="3" s="1"/>
  <c r="AK25" i="3"/>
  <c r="AN25" i="3" s="1"/>
  <c r="AO25" i="3" s="1"/>
  <c r="AK28" i="3"/>
  <c r="AN28" i="3" s="1"/>
  <c r="AO28" i="3" s="1"/>
  <c r="AK5" i="3"/>
  <c r="AN5" i="3" s="1"/>
  <c r="AO5" i="3" s="1"/>
  <c r="AK40" i="3"/>
  <c r="AN40" i="3" s="1"/>
  <c r="AO40" i="3" s="1"/>
  <c r="AK18" i="3"/>
  <c r="AN18" i="3" s="1"/>
  <c r="AO18" i="3" s="1"/>
  <c r="AK35" i="3"/>
  <c r="AN35" i="3" s="1"/>
  <c r="AO35" i="3" s="1"/>
  <c r="AK27" i="3"/>
  <c r="AN27" i="3" s="1"/>
  <c r="AO27" i="3" s="1"/>
  <c r="AK14" i="3"/>
  <c r="AN14" i="3" s="1"/>
  <c r="AO14" i="3" s="1"/>
  <c r="AK21" i="3"/>
  <c r="AN21" i="3" s="1"/>
  <c r="AO21" i="3" s="1"/>
  <c r="AK11" i="3"/>
  <c r="AN11" i="3" s="1"/>
  <c r="AO11" i="3" s="1"/>
  <c r="AK12" i="3"/>
  <c r="AN12" i="3" s="1"/>
  <c r="AO12" i="3" s="1"/>
  <c r="AK33" i="3"/>
  <c r="AN33" i="3" s="1"/>
  <c r="AO33" i="3" s="1"/>
  <c r="AK29" i="3"/>
  <c r="AN29" i="3" s="1"/>
  <c r="AO29" i="3" s="1"/>
  <c r="AK20" i="3"/>
  <c r="AN20" i="3" s="1"/>
  <c r="AO20" i="3" s="1"/>
  <c r="AK6" i="3"/>
  <c r="AN6" i="3" s="1"/>
  <c r="AO6" i="3" s="1"/>
  <c r="AK8" i="3"/>
  <c r="AN8" i="3" s="1"/>
  <c r="AO8" i="3" s="1"/>
  <c r="AK19" i="3"/>
  <c r="AN19" i="3" s="1"/>
  <c r="AO19" i="3" s="1"/>
  <c r="AK30" i="3"/>
  <c r="AN30" i="3" s="1"/>
  <c r="AO30" i="3" s="1"/>
  <c r="AK34" i="3"/>
  <c r="AN34" i="3" s="1"/>
  <c r="AO34" i="3" s="1"/>
  <c r="AK26" i="3"/>
  <c r="AN26" i="3" s="1"/>
  <c r="AO26" i="3" s="1"/>
  <c r="AK23" i="3"/>
  <c r="AN23" i="3" s="1"/>
  <c r="AO23" i="3" s="1"/>
  <c r="AK10" i="3"/>
  <c r="AN10" i="3" s="1"/>
  <c r="AO10" i="3" s="1"/>
  <c r="AK16" i="3"/>
  <c r="AN16" i="3" s="1"/>
  <c r="AO16" i="3" s="1"/>
  <c r="AK38" i="3"/>
  <c r="AN38" i="3" s="1"/>
  <c r="AO38" i="3" s="1"/>
  <c r="AK32" i="3"/>
  <c r="AN32" i="3" s="1"/>
  <c r="AO32" i="3" s="1"/>
  <c r="AK36" i="3"/>
  <c r="AN36" i="3" s="1"/>
  <c r="AO36" i="3" s="1"/>
  <c r="AK31" i="3"/>
  <c r="AN31" i="3" s="1"/>
  <c r="AO31" i="3" s="1"/>
  <c r="AK39" i="3"/>
  <c r="AN39" i="3" s="1"/>
  <c r="AO39" i="3" s="1"/>
  <c r="AK24" i="3"/>
  <c r="AN24" i="3" s="1"/>
  <c r="AO24" i="3" s="1"/>
  <c r="AK17" i="3"/>
  <c r="AN17" i="3" s="1"/>
  <c r="AO17" i="3" s="1"/>
  <c r="AK42" i="3"/>
  <c r="AK7" i="3"/>
  <c r="AN7" i="3" s="1"/>
  <c r="AO7" i="3" s="1"/>
  <c r="AK15" i="3"/>
  <c r="AN15" i="3" s="1"/>
  <c r="AO15" i="3" s="1"/>
  <c r="AF16" i="3"/>
  <c r="AF19" i="3"/>
  <c r="AF6" i="3"/>
  <c r="AF41" i="3"/>
  <c r="AF38" i="3"/>
  <c r="AF31" i="3"/>
  <c r="AF13" i="3"/>
  <c r="AF39" i="3"/>
  <c r="AF7" i="3"/>
  <c r="AF32" i="3"/>
  <c r="AF24" i="3"/>
  <c r="AF22" i="3"/>
  <c r="AF20" i="3"/>
  <c r="AF23" i="3"/>
  <c r="AF9" i="3"/>
  <c r="AF14" i="3"/>
  <c r="AF27" i="3"/>
  <c r="AF34" i="3"/>
  <c r="AF35" i="3"/>
  <c r="AF33" i="3"/>
  <c r="AF40" i="3"/>
  <c r="AF11" i="3"/>
  <c r="AF12" i="3"/>
  <c r="AF21" i="3"/>
  <c r="AF18" i="3"/>
  <c r="AF37" i="3"/>
  <c r="AF17" i="3"/>
  <c r="AF30" i="3"/>
  <c r="R64" i="1"/>
  <c r="AF15" i="3"/>
  <c r="AF25" i="3"/>
  <c r="AF28" i="3"/>
  <c r="AF36" i="3"/>
  <c r="AF29" i="3"/>
  <c r="CV8" i="3"/>
  <c r="AF8" i="3"/>
  <c r="AG5" i="3"/>
  <c r="AS5" i="3" s="1"/>
  <c r="AF5" i="3"/>
  <c r="AF42" i="3"/>
  <c r="AF26" i="3"/>
  <c r="CV10" i="3"/>
  <c r="AF10" i="3"/>
  <c r="AG39" i="3"/>
  <c r="AS39" i="3" s="1"/>
  <c r="AG38" i="3"/>
  <c r="AS38" i="3" s="1"/>
  <c r="AG10" i="3"/>
  <c r="AS10" i="3" s="1"/>
  <c r="CV7" i="3"/>
  <c r="AG7" i="3"/>
  <c r="AS7" i="3" s="1"/>
  <c r="AG31" i="3"/>
  <c r="AS31" i="3" s="1"/>
  <c r="AG32" i="3"/>
  <c r="AS32" i="3" s="1"/>
  <c r="AG24" i="3"/>
  <c r="AS24" i="3" s="1"/>
  <c r="AG22" i="3"/>
  <c r="AS22" i="3" s="1"/>
  <c r="AG14" i="3"/>
  <c r="AS14" i="3" s="1"/>
  <c r="CV37" i="3"/>
  <c r="AG37" i="3"/>
  <c r="AS37" i="3" s="1"/>
  <c r="AG20" i="3"/>
  <c r="AS20" i="3" s="1"/>
  <c r="AG27" i="3"/>
  <c r="AS27" i="3" s="1"/>
  <c r="AG17" i="3"/>
  <c r="AS17" i="3" s="1"/>
  <c r="AG34" i="3"/>
  <c r="AS34" i="3" s="1"/>
  <c r="CV39" i="3"/>
  <c r="AG35" i="3"/>
  <c r="AS35" i="3" s="1"/>
  <c r="AG30" i="3"/>
  <c r="AS30" i="3" s="1"/>
  <c r="AG23" i="3"/>
  <c r="AS23" i="3" s="1"/>
  <c r="AG33" i="3"/>
  <c r="AS33" i="3" s="1"/>
  <c r="AG40" i="3"/>
  <c r="AS40" i="3" s="1"/>
  <c r="CV11" i="3"/>
  <c r="AG11" i="3"/>
  <c r="AS11" i="3" s="1"/>
  <c r="AG12" i="3"/>
  <c r="AS12" i="3" s="1"/>
  <c r="AG21" i="3"/>
  <c r="AS21" i="3" s="1"/>
  <c r="AG15" i="3"/>
  <c r="AS15" i="3" s="1"/>
  <c r="AG25" i="3"/>
  <c r="AS25" i="3" s="1"/>
  <c r="AG28" i="3"/>
  <c r="AS28" i="3" s="1"/>
  <c r="AG36" i="3"/>
  <c r="AS36" i="3" s="1"/>
  <c r="CV13" i="3"/>
  <c r="AG13" i="3"/>
  <c r="AS13" i="3" s="1"/>
  <c r="AG18" i="3"/>
  <c r="AS18" i="3" s="1"/>
  <c r="AG9" i="3"/>
  <c r="AS9" i="3" s="1"/>
  <c r="CV41" i="3"/>
  <c r="AG41" i="3"/>
  <c r="AS41" i="3" s="1"/>
  <c r="CV16" i="3"/>
  <c r="AG16" i="3"/>
  <c r="AS16" i="3" s="1"/>
  <c r="CV42" i="3"/>
  <c r="AG42" i="3"/>
  <c r="AS42" i="3" s="1"/>
  <c r="AG19" i="3"/>
  <c r="AS19" i="3" s="1"/>
  <c r="AG26" i="3"/>
  <c r="AS26" i="3" s="1"/>
  <c r="AG29" i="3"/>
  <c r="AS29" i="3" s="1"/>
  <c r="AG6" i="3"/>
  <c r="AS6" i="3" s="1"/>
  <c r="AG8" i="3"/>
  <c r="AS8" i="3" s="1"/>
  <c r="CV32" i="3"/>
  <c r="CV9" i="3"/>
  <c r="CV29" i="3"/>
  <c r="CV26" i="3"/>
  <c r="CV15" i="3"/>
  <c r="CV30" i="3"/>
  <c r="CV21" i="3"/>
  <c r="CV17" i="3"/>
  <c r="CV20" i="3"/>
  <c r="CV14" i="3"/>
  <c r="CV34" i="3"/>
  <c r="CV36" i="3"/>
  <c r="CV22" i="3"/>
  <c r="CV35" i="3"/>
  <c r="CV27" i="3"/>
  <c r="CV24" i="3"/>
  <c r="CV23" i="3"/>
  <c r="CV31" i="3"/>
  <c r="CV25" i="3"/>
  <c r="CV28" i="3"/>
  <c r="CV40" i="3"/>
  <c r="CV19" i="3"/>
  <c r="CV12" i="3"/>
  <c r="CV18" i="3"/>
  <c r="CV33" i="3"/>
  <c r="CV38" i="3"/>
  <c r="H20" i="1"/>
  <c r="H12" i="1"/>
  <c r="H15" i="1"/>
  <c r="H25" i="1"/>
  <c r="H23" i="1"/>
  <c r="H14" i="1"/>
  <c r="H13" i="1"/>
  <c r="AN42" i="3" l="1"/>
  <c r="AO42" i="3" s="1"/>
  <c r="W45" i="3"/>
  <c r="AR5" i="3"/>
  <c r="AR36" i="3"/>
  <c r="AR38" i="3"/>
  <c r="AR13" i="3"/>
  <c r="AR33" i="3"/>
  <c r="AR9" i="3"/>
  <c r="AR11" i="3"/>
  <c r="AR37" i="3"/>
  <c r="AR28" i="3"/>
  <c r="AR42" i="3"/>
  <c r="AR27" i="3"/>
  <c r="AR8" i="3"/>
  <c r="AR41" i="3"/>
  <c r="AR32" i="3"/>
  <c r="AR24" i="3"/>
  <c r="AR34" i="3"/>
  <c r="AR23" i="3"/>
  <c r="AR25" i="3"/>
  <c r="AR40" i="3"/>
  <c r="AR39" i="3"/>
  <c r="AR14" i="3"/>
  <c r="AR17" i="3"/>
  <c r="AR29" i="3"/>
  <c r="AR10" i="3"/>
  <c r="AR31" i="3"/>
  <c r="AR22" i="3"/>
  <c r="AR35" i="3"/>
  <c r="AR15" i="3"/>
  <c r="AR26" i="3"/>
  <c r="AR16" i="3"/>
  <c r="AR19" i="3"/>
  <c r="AR30" i="3"/>
  <c r="AR43" i="3"/>
  <c r="BQ43" i="3" s="1"/>
  <c r="BR43" i="3" s="1"/>
  <c r="BS43" i="3" s="1"/>
  <c r="AR7" i="3"/>
  <c r="AR12" i="3"/>
  <c r="AR21" i="3"/>
  <c r="AR18" i="3"/>
  <c r="AR6" i="3"/>
  <c r="AR20" i="3"/>
  <c r="AQ41" i="3"/>
  <c r="AQ43" i="3"/>
  <c r="AQ25" i="3"/>
  <c r="AH43" i="3"/>
  <c r="U8" i="3"/>
  <c r="U15" i="3"/>
  <c r="AQ10" i="3"/>
  <c r="AQ26" i="3"/>
  <c r="AQ40" i="3"/>
  <c r="AQ29" i="3"/>
  <c r="AQ33" i="3"/>
  <c r="AQ22" i="3"/>
  <c r="AQ6" i="3"/>
  <c r="AQ27" i="3"/>
  <c r="AQ15" i="3"/>
  <c r="AQ30" i="3"/>
  <c r="AQ36" i="3"/>
  <c r="AQ35" i="3"/>
  <c r="AQ28" i="3"/>
  <c r="AQ34" i="3"/>
  <c r="AQ5" i="3"/>
  <c r="AQ12" i="3"/>
  <c r="AQ9" i="3"/>
  <c r="AQ20" i="3"/>
  <c r="AQ38" i="3"/>
  <c r="AQ17" i="3"/>
  <c r="AQ24" i="3"/>
  <c r="AQ42" i="3"/>
  <c r="AQ37" i="3"/>
  <c r="AQ32" i="3"/>
  <c r="AQ19" i="3"/>
  <c r="AQ18" i="3"/>
  <c r="AQ21" i="3"/>
  <c r="AQ14" i="3"/>
  <c r="AH41" i="3"/>
  <c r="AH8" i="3"/>
  <c r="AH32" i="3"/>
  <c r="AH9" i="3"/>
  <c r="AH28" i="3"/>
  <c r="AH12" i="3"/>
  <c r="AH23" i="3"/>
  <c r="AH33" i="3"/>
  <c r="AH34" i="3"/>
  <c r="AH38" i="3"/>
  <c r="AH6" i="3"/>
  <c r="AH17" i="3"/>
  <c r="AH14" i="3"/>
  <c r="AH31" i="3"/>
  <c r="AH39" i="3"/>
  <c r="AH19" i="3"/>
  <c r="AH37" i="3"/>
  <c r="AH42" i="3"/>
  <c r="AH18" i="3"/>
  <c r="AH25" i="3"/>
  <c r="AH11" i="3"/>
  <c r="AH30" i="3"/>
  <c r="AQ7" i="3"/>
  <c r="AQ16" i="3"/>
  <c r="AH21" i="3"/>
  <c r="AH29" i="3"/>
  <c r="AH22" i="3"/>
  <c r="AH13" i="3"/>
  <c r="AH35" i="3"/>
  <c r="AQ8" i="3"/>
  <c r="AQ13" i="3"/>
  <c r="AH36" i="3"/>
  <c r="AH27" i="3"/>
  <c r="AH7" i="3"/>
  <c r="AH5" i="3"/>
  <c r="AQ39" i="3"/>
  <c r="AH16" i="3"/>
  <c r="AH15" i="3"/>
  <c r="AH40" i="3"/>
  <c r="AH26" i="3"/>
  <c r="AH20" i="3"/>
  <c r="AH24" i="3"/>
  <c r="AH10" i="3"/>
  <c r="AQ11" i="3"/>
  <c r="AQ23" i="3"/>
  <c r="AQ31" i="3"/>
  <c r="BW43" i="3" l="1"/>
  <c r="BV43" i="3"/>
  <c r="BU43" i="3"/>
  <c r="BZ21" i="3"/>
  <c r="BQ21" i="3"/>
  <c r="BZ13" i="3"/>
  <c r="BQ13" i="3"/>
  <c r="BZ40" i="3"/>
  <c r="BQ40" i="3"/>
  <c r="BZ7" i="3"/>
  <c r="BQ7" i="3"/>
  <c r="BZ28" i="3"/>
  <c r="BQ28" i="3"/>
  <c r="BZ18" i="3"/>
  <c r="BQ18" i="3"/>
  <c r="BZ26" i="3"/>
  <c r="BQ26" i="3"/>
  <c r="BZ14" i="3"/>
  <c r="BQ14" i="3"/>
  <c r="BZ41" i="3"/>
  <c r="BQ41" i="3"/>
  <c r="BZ33" i="3"/>
  <c r="BQ33" i="3"/>
  <c r="BZ5" i="3"/>
  <c r="BQ5" i="3"/>
  <c r="BZ39" i="3"/>
  <c r="BQ39" i="3"/>
  <c r="BZ35" i="3"/>
  <c r="BQ35" i="3"/>
  <c r="BZ22" i="3"/>
  <c r="BQ22" i="3"/>
  <c r="BZ42" i="3"/>
  <c r="BQ42" i="3"/>
  <c r="BT43" i="3"/>
  <c r="BZ30" i="3"/>
  <c r="BQ30" i="3"/>
  <c r="BZ10" i="3"/>
  <c r="BQ10" i="3"/>
  <c r="BZ34" i="3"/>
  <c r="BQ34" i="3"/>
  <c r="BZ37" i="3"/>
  <c r="BQ37" i="3"/>
  <c r="BZ8" i="3"/>
  <c r="BQ8" i="3"/>
  <c r="BZ27" i="3"/>
  <c r="BQ27" i="3"/>
  <c r="BZ25" i="3"/>
  <c r="BQ25" i="3"/>
  <c r="BZ23" i="3"/>
  <c r="BQ23" i="3"/>
  <c r="BZ19" i="3"/>
  <c r="BQ19" i="3"/>
  <c r="BZ11" i="3"/>
  <c r="BQ11" i="3"/>
  <c r="BZ15" i="3"/>
  <c r="BQ15" i="3"/>
  <c r="BZ12" i="3"/>
  <c r="BQ12" i="3"/>
  <c r="BZ38" i="3"/>
  <c r="BQ38" i="3"/>
  <c r="BZ36" i="3"/>
  <c r="BQ36" i="3"/>
  <c r="BZ31" i="3"/>
  <c r="BQ31" i="3"/>
  <c r="BZ20" i="3"/>
  <c r="BQ20" i="3"/>
  <c r="BZ29" i="3"/>
  <c r="BQ29" i="3"/>
  <c r="BZ24" i="3"/>
  <c r="BQ24" i="3"/>
  <c r="BZ6" i="3"/>
  <c r="BQ6" i="3"/>
  <c r="BZ16" i="3"/>
  <c r="BQ16" i="3"/>
  <c r="BZ17" i="3"/>
  <c r="BQ17" i="3"/>
  <c r="BZ32" i="3"/>
  <c r="BQ32" i="3"/>
  <c r="BZ9" i="3"/>
  <c r="BQ9" i="3"/>
  <c r="BZ43" i="3"/>
  <c r="Q45" i="3"/>
  <c r="T64" i="1"/>
  <c r="T48" i="1"/>
  <c r="T34" i="1"/>
  <c r="T60" i="1"/>
  <c r="T44" i="1"/>
  <c r="T52" i="1"/>
  <c r="T58" i="1"/>
  <c r="T38" i="1"/>
  <c r="T54" i="1"/>
  <c r="T51" i="1"/>
  <c r="T59" i="1"/>
  <c r="T45" i="1"/>
  <c r="U16" i="3"/>
  <c r="U9" i="3"/>
  <c r="T40" i="1"/>
  <c r="T28" i="1"/>
  <c r="T47" i="1"/>
  <c r="T56" i="1"/>
  <c r="T26" i="1"/>
  <c r="T36" i="1"/>
  <c r="T49" i="1"/>
  <c r="T55" i="1"/>
  <c r="T35" i="1"/>
  <c r="T32" i="1"/>
  <c r="T62" i="1"/>
  <c r="T31" i="1"/>
  <c r="T61" i="1"/>
  <c r="T50" i="1"/>
  <c r="T27" i="1"/>
  <c r="T46" i="1"/>
  <c r="T30" i="1"/>
  <c r="T43" i="1"/>
  <c r="T41" i="1"/>
  <c r="T37" i="1"/>
  <c r="T39" i="1"/>
  <c r="T42" i="1"/>
  <c r="T53" i="1"/>
  <c r="T33" i="1"/>
  <c r="T29" i="1"/>
  <c r="T57" i="1"/>
  <c r="T63" i="1"/>
  <c r="BX43" i="3" l="1"/>
  <c r="BW37" i="3"/>
  <c r="BR37" i="3"/>
  <c r="BT37" i="3"/>
  <c r="BU37" i="3"/>
  <c r="BV37" i="3"/>
  <c r="BR42" i="3"/>
  <c r="BS42" i="3" s="1"/>
  <c r="BW42" i="3"/>
  <c r="BT42" i="3"/>
  <c r="BU42" i="3"/>
  <c r="BV42" i="3"/>
  <c r="BU31" i="3"/>
  <c r="BW31" i="3"/>
  <c r="BV31" i="3"/>
  <c r="BT31" i="3"/>
  <c r="BR31" i="3"/>
  <c r="BT15" i="3"/>
  <c r="BW15" i="3"/>
  <c r="BR15" i="3"/>
  <c r="BU15" i="3"/>
  <c r="BV15" i="3"/>
  <c r="BW25" i="3"/>
  <c r="BR25" i="3"/>
  <c r="BV25" i="3"/>
  <c r="BT25" i="3"/>
  <c r="BU25" i="3"/>
  <c r="BW34" i="3"/>
  <c r="BT34" i="3"/>
  <c r="BR34" i="3"/>
  <c r="BS34" i="3" s="1"/>
  <c r="BU34" i="3"/>
  <c r="BV34" i="3"/>
  <c r="BW14" i="3"/>
  <c r="BR14" i="3"/>
  <c r="BS14" i="3" s="1"/>
  <c r="BV14" i="3"/>
  <c r="BT14" i="3"/>
  <c r="BU14" i="3"/>
  <c r="BT16" i="3"/>
  <c r="BV16" i="3"/>
  <c r="BU16" i="3"/>
  <c r="BW16" i="3"/>
  <c r="BR16" i="3"/>
  <c r="BW20" i="3"/>
  <c r="BT20" i="3"/>
  <c r="BR20" i="3"/>
  <c r="BS20" i="3" s="1"/>
  <c r="BV20" i="3"/>
  <c r="BU20" i="3"/>
  <c r="BT5" i="3"/>
  <c r="BW5" i="3"/>
  <c r="BU5" i="3"/>
  <c r="BV5" i="3"/>
  <c r="BR5" i="3"/>
  <c r="BS5" i="3" s="1"/>
  <c r="BV9" i="3"/>
  <c r="BU9" i="3"/>
  <c r="BW9" i="3"/>
  <c r="BT9" i="3"/>
  <c r="BR9" i="3"/>
  <c r="BV22" i="3"/>
  <c r="BR22" i="3"/>
  <c r="BU22" i="3"/>
  <c r="BW22" i="3"/>
  <c r="BT22" i="3"/>
  <c r="BW33" i="3"/>
  <c r="BV33" i="3"/>
  <c r="BU33" i="3"/>
  <c r="BR33" i="3"/>
  <c r="BT33" i="3"/>
  <c r="BT18" i="3"/>
  <c r="BV18" i="3"/>
  <c r="BU18" i="3"/>
  <c r="BW18" i="3"/>
  <c r="BR18" i="3"/>
  <c r="BV13" i="3"/>
  <c r="BU13" i="3"/>
  <c r="BW13" i="3"/>
  <c r="BT13" i="3"/>
  <c r="BR13" i="3"/>
  <c r="BV7" i="3"/>
  <c r="BT7" i="3"/>
  <c r="BU7" i="3"/>
  <c r="BW7" i="3"/>
  <c r="BR7" i="3"/>
  <c r="BS7" i="3" s="1"/>
  <c r="BV12" i="3"/>
  <c r="BW12" i="3"/>
  <c r="BT12" i="3"/>
  <c r="BR12" i="3"/>
  <c r="BU12" i="3"/>
  <c r="BW26" i="3"/>
  <c r="BV26" i="3"/>
  <c r="BU26" i="3"/>
  <c r="BT26" i="3"/>
  <c r="BR26" i="3"/>
  <c r="BS26" i="3" s="1"/>
  <c r="BU6" i="3"/>
  <c r="BV6" i="3"/>
  <c r="BR6" i="3"/>
  <c r="BS6" i="3" s="1"/>
  <c r="BW6" i="3"/>
  <c r="BT6" i="3"/>
  <c r="BV32" i="3"/>
  <c r="BW32" i="3"/>
  <c r="BU32" i="3"/>
  <c r="BR32" i="3"/>
  <c r="BT32" i="3"/>
  <c r="BV24" i="3"/>
  <c r="BW24" i="3"/>
  <c r="BU24" i="3"/>
  <c r="BR24" i="3"/>
  <c r="BT24" i="3"/>
  <c r="BR36" i="3"/>
  <c r="BT36" i="3"/>
  <c r="BV36" i="3"/>
  <c r="BU36" i="3"/>
  <c r="BW36" i="3"/>
  <c r="BV11" i="3"/>
  <c r="BR11" i="3"/>
  <c r="BT11" i="3"/>
  <c r="BW11" i="3"/>
  <c r="BU11" i="3"/>
  <c r="BV27" i="3"/>
  <c r="BR27" i="3"/>
  <c r="BW27" i="3"/>
  <c r="BU27" i="3"/>
  <c r="BT27" i="3"/>
  <c r="BW10" i="3"/>
  <c r="BR10" i="3"/>
  <c r="BT10" i="3"/>
  <c r="BV10" i="3"/>
  <c r="BU10" i="3"/>
  <c r="BT39" i="3"/>
  <c r="BR39" i="3"/>
  <c r="BS39" i="3" s="1"/>
  <c r="BV39" i="3"/>
  <c r="BU39" i="3"/>
  <c r="BW39" i="3"/>
  <c r="BV23" i="3"/>
  <c r="BU23" i="3"/>
  <c r="BW23" i="3"/>
  <c r="BR23" i="3"/>
  <c r="BS23" i="3" s="1"/>
  <c r="BT23" i="3"/>
  <c r="BV40" i="3"/>
  <c r="BU40" i="3"/>
  <c r="BR40" i="3"/>
  <c r="BS40" i="3" s="1"/>
  <c r="BT40" i="3"/>
  <c r="BW40" i="3"/>
  <c r="BW35" i="3"/>
  <c r="BR35" i="3"/>
  <c r="BV35" i="3"/>
  <c r="BU35" i="3"/>
  <c r="BT35" i="3"/>
  <c r="BR41" i="3"/>
  <c r="BV41" i="3"/>
  <c r="BT41" i="3"/>
  <c r="BW41" i="3"/>
  <c r="BU41" i="3"/>
  <c r="BR28" i="3"/>
  <c r="BV28" i="3"/>
  <c r="BT28" i="3"/>
  <c r="BW28" i="3"/>
  <c r="BU28" i="3"/>
  <c r="BT21" i="3"/>
  <c r="BR21" i="3"/>
  <c r="BV21" i="3"/>
  <c r="BW21" i="3"/>
  <c r="BU21" i="3"/>
  <c r="BR17" i="3"/>
  <c r="BV17" i="3"/>
  <c r="BT17" i="3"/>
  <c r="BU17" i="3"/>
  <c r="BW17" i="3"/>
  <c r="BV29" i="3"/>
  <c r="BR29" i="3"/>
  <c r="BS29" i="3" s="1"/>
  <c r="BW29" i="3"/>
  <c r="BU29" i="3"/>
  <c r="BT29" i="3"/>
  <c r="BT38" i="3"/>
  <c r="BV38" i="3"/>
  <c r="BU38" i="3"/>
  <c r="BW38" i="3"/>
  <c r="BR38" i="3"/>
  <c r="BU19" i="3"/>
  <c r="BW19" i="3"/>
  <c r="BV19" i="3"/>
  <c r="BT19" i="3"/>
  <c r="BR19" i="3"/>
  <c r="BS19" i="3" s="1"/>
  <c r="BR8" i="3"/>
  <c r="BT8" i="3"/>
  <c r="BV8" i="3"/>
  <c r="BW8" i="3"/>
  <c r="BU8" i="3"/>
  <c r="BU30" i="3"/>
  <c r="BR30" i="3"/>
  <c r="BT30" i="3"/>
  <c r="BW30" i="3"/>
  <c r="BV30" i="3"/>
  <c r="AB43" i="3"/>
  <c r="T43" i="3"/>
  <c r="CB43" i="3"/>
  <c r="CC43" i="3"/>
  <c r="CG43" i="3"/>
  <c r="CD43" i="3"/>
  <c r="CE43" i="3"/>
  <c r="CF43" i="3"/>
  <c r="U10" i="3"/>
  <c r="BX5" i="3" l="1"/>
  <c r="BX29" i="3"/>
  <c r="Z43" i="3"/>
  <c r="BX42" i="3"/>
  <c r="BX19" i="3"/>
  <c r="BX40" i="3"/>
  <c r="BX26" i="3"/>
  <c r="BX34" i="3"/>
  <c r="BS17" i="3"/>
  <c r="BX17" i="3"/>
  <c r="BS31" i="3"/>
  <c r="BX31" i="3"/>
  <c r="BS38" i="3"/>
  <c r="BX38" i="3"/>
  <c r="BS32" i="3"/>
  <c r="BX32" i="3"/>
  <c r="BS25" i="3"/>
  <c r="BX25" i="3"/>
  <c r="BS30" i="3"/>
  <c r="BX30" i="3"/>
  <c r="BX14" i="3"/>
  <c r="BX6" i="3"/>
  <c r="BS22" i="3"/>
  <c r="BX22" i="3"/>
  <c r="BS15" i="3"/>
  <c r="BX15" i="3"/>
  <c r="BS37" i="3"/>
  <c r="BX37" i="3"/>
  <c r="BS33" i="3"/>
  <c r="BX33" i="3"/>
  <c r="BX7" i="3"/>
  <c r="BS18" i="3"/>
  <c r="BX18" i="3"/>
  <c r="BS10" i="3"/>
  <c r="BX10" i="3"/>
  <c r="BS36" i="3"/>
  <c r="BX36" i="3"/>
  <c r="BS12" i="3"/>
  <c r="BX12" i="3"/>
  <c r="BX23" i="3"/>
  <c r="BS13" i="3"/>
  <c r="BX13" i="3"/>
  <c r="BX20" i="3"/>
  <c r="BS41" i="3"/>
  <c r="BX41" i="3"/>
  <c r="BS27" i="3"/>
  <c r="BX27" i="3"/>
  <c r="BS16" i="3"/>
  <c r="BX16" i="3"/>
  <c r="BS9" i="3"/>
  <c r="BX9" i="3"/>
  <c r="BS28" i="3"/>
  <c r="BX28" i="3"/>
  <c r="BS8" i="3"/>
  <c r="BX8" i="3"/>
  <c r="BS35" i="3"/>
  <c r="BX35" i="3"/>
  <c r="BS21" i="3"/>
  <c r="BX21" i="3"/>
  <c r="BS11" i="3"/>
  <c r="BX11" i="3"/>
  <c r="BS24" i="3"/>
  <c r="BX24" i="3"/>
  <c r="BX39" i="3"/>
  <c r="T45" i="3"/>
  <c r="U43" i="3"/>
  <c r="CH43" i="3"/>
  <c r="U11" i="3"/>
</calcChain>
</file>

<file path=xl/sharedStrings.xml><?xml version="1.0" encoding="utf-8"?>
<sst xmlns="http://schemas.openxmlformats.org/spreadsheetml/2006/main" count="193" uniqueCount="164">
  <si>
    <t>[1]</t>
  </si>
  <si>
    <t>[2]</t>
  </si>
  <si>
    <t>[3]</t>
  </si>
  <si>
    <t>[4]</t>
  </si>
  <si>
    <t>[5]</t>
  </si>
  <si>
    <t>[6]</t>
  </si>
  <si>
    <t>[7]</t>
  </si>
  <si>
    <t>[8]</t>
  </si>
  <si>
    <t>[9]</t>
  </si>
  <si>
    <t>[10]</t>
  </si>
  <si>
    <t>[11]</t>
  </si>
  <si>
    <t>[12]</t>
  </si>
  <si>
    <t>[13]</t>
  </si>
  <si>
    <t>[14]</t>
  </si>
  <si>
    <t>[15]</t>
  </si>
  <si>
    <t>Excluding Puerto Rico</t>
  </si>
  <si>
    <t>Including Puerto Rico</t>
  </si>
  <si>
    <t>Memo: Foreign profits, excl. Puerto Rico ($bn)</t>
  </si>
  <si>
    <t>Memo: Puerto Rico profits ($bn)</t>
  </si>
  <si>
    <t>% of foreign pre-tax profits</t>
  </si>
  <si>
    <t>Total havens (excl. Puerto Rico)</t>
  </si>
  <si>
    <t>Ireland</t>
  </si>
  <si>
    <t>Netherlands + Luxembourg</t>
  </si>
  <si>
    <t>Switzerland</t>
  </si>
  <si>
    <t>Bermuda and Carribbean havens</t>
  </si>
  <si>
    <t>Singapore</t>
  </si>
  <si>
    <t>Total havens (incl. Puerto Rico)</t>
  </si>
  <si>
    <t>Puerto Rico</t>
  </si>
  <si>
    <t>Profits of U.S. multinationals abroad: country breakdown</t>
  </si>
  <si>
    <t xml:space="preserve">Profit measure is profit-type return in the BEA survey since 1994; and net income plus foreign income taxes paid minus income from equity investment minus capital gains before. </t>
  </si>
  <si>
    <t>year</t>
  </si>
  <si>
    <t>Profit (+)</t>
  </si>
  <si>
    <t>For. profits (+)</t>
  </si>
  <si>
    <t>Share foreign (+)</t>
  </si>
  <si>
    <t>Profit (all)</t>
  </si>
  <si>
    <t>For. profits (all)</t>
  </si>
  <si>
    <t>Share foreign (all)</t>
  </si>
  <si>
    <t>Profit type return of parents</t>
  </si>
  <si>
    <t>NIPA</t>
  </si>
  <si>
    <t>BEA survey</t>
  </si>
  <si>
    <r>
      <rPr>
        <u/>
        <sz val="12"/>
        <color theme="1"/>
        <rFont val="Arial"/>
        <family val="2"/>
      </rPr>
      <t>Notes</t>
    </r>
    <r>
      <rPr>
        <sz val="12"/>
        <color theme="1"/>
        <rFont val="Arial"/>
        <family val="2"/>
      </rPr>
      <t>: Tax havens include Bermuda, Bermuda and Caribbean tax havens, Ireland, Luxembourg, Netherlands, Singapore, and Switzerland. All sectors are included.</t>
    </r>
  </si>
  <si>
    <t>Profit-type return of majority-owned affiliates (MOFA)</t>
  </si>
  <si>
    <t>Memo: BEA survey total profit / NIPA total profit</t>
  </si>
  <si>
    <t>Memo: Compustat total profit / NIPA total profit</t>
  </si>
  <si>
    <t>Profits in Puerto Rico</t>
  </si>
  <si>
    <t>CBCR (+ imputed backward)</t>
  </si>
  <si>
    <t>NIPA implicit = difference between reinvested earnings on US direct investment abroad in NIPA Table 4.1 line 19 (treats Puerto Rico as foreign) and reinvested earnings on USDIA in the international accounts Table 4.2 line 14 (treats Puerto Rico as US)</t>
  </si>
  <si>
    <t>PR national accounts</t>
  </si>
  <si>
    <t>NIPA implicit reinvested earnings</t>
  </si>
  <si>
    <t>CFC current earning before tax</t>
  </si>
  <si>
    <t>Taxes paid by majority-owned affiliates</t>
  </si>
  <si>
    <t>Taxes paid by parent</t>
  </si>
  <si>
    <t>Corporate profits in national income</t>
  </si>
  <si>
    <t>Plus: PI dividends paid to RoW</t>
  </si>
  <si>
    <t>Equals: global income of US-headquartered corp</t>
  </si>
  <si>
    <t>Minus: PI dividends received from RoW</t>
  </si>
  <si>
    <t>Equals: domestic income of US-headquarterd corp</t>
  </si>
  <si>
    <t>Primary income NIPA Table 4.3</t>
  </si>
  <si>
    <t>Foreign profit outflows</t>
  </si>
  <si>
    <t>Source / Note</t>
  </si>
  <si>
    <t>BEA USDIA survey Table I.P.1</t>
  </si>
  <si>
    <t xml:space="preserve"> BEA USDIA survey Table II.F.1. Computed as net income + foreign income taxes paid - income from equity investments - capital gains before 1994</t>
  </si>
  <si>
    <t>BEA USDIA survey II.D.1</t>
  </si>
  <si>
    <t>NIPA 4.1 34 + 35</t>
  </si>
  <si>
    <t>Equals</t>
  </si>
  <si>
    <t>PI dividends</t>
  </si>
  <si>
    <t>DI divs + retained</t>
  </si>
  <si>
    <t>Diff geographical coverage btw NIPA and BoP</t>
  </si>
  <si>
    <t>ITA 4.2</t>
  </si>
  <si>
    <t>Tax rate of parents</t>
  </si>
  <si>
    <t>BEA USDIA survey Table I.P.1. Computed as net income + foreign income taxes paid - income from equity investments - capital gains before 1994</t>
  </si>
  <si>
    <t>Ta rate of affiliates</t>
  </si>
  <si>
    <t>Tax rate all</t>
  </si>
  <si>
    <t>SOI</t>
  </si>
  <si>
    <t>https://www.irs.gov/pub/irs-soi/95poss.pdf</t>
  </si>
  <si>
    <t>https://www.irs.gov/statistics/soi-tax-stats-soi-bulletin-articles-index-by-topic</t>
  </si>
  <si>
    <t>https://www.irs.gov/statistics/soi-tax-stats-us-possessions-corporations (links broken!!)</t>
  </si>
  <si>
    <t>Treasury report 1985: https://home.treasury.gov/system/files/131/Report-Possessions-1985.pdf</t>
  </si>
  <si>
    <t>Re-read Grubert-Slemrod</t>
  </si>
  <si>
    <t>Memo: current-cost adjustment</t>
  </si>
  <si>
    <t>Memo: DI equity income received from RoW, without current-cost adjustment</t>
  </si>
  <si>
    <t>DI equity income received without current-cost adjustment, divided by 1- foreign income tax rate of MOFA, plus current-cost adjustment</t>
  </si>
  <si>
    <t>Memo: BEA survey foreign profit / NIPA foreign profit</t>
  </si>
  <si>
    <t>Memo: BEA survey domestic profit / NIPA domestic profit (no S-corp correction)</t>
  </si>
  <si>
    <t>Memo: BEA survey domestic profit / NIPA domestic profit (with S-corp correction)</t>
  </si>
  <si>
    <t>Excludes Puerto Rico</t>
  </si>
  <si>
    <t>Share of foreign pre-tax profit in US corporations' pre-tax profit (no S-corp correction)</t>
  </si>
  <si>
    <t>Share of foreign pre-tax profit in US corporations' pre-tax profit (with S-corps correction)</t>
  </si>
  <si>
    <t>NIPA (no S-corp correction)</t>
  </si>
  <si>
    <t>Compustat (positive profit)</t>
  </si>
  <si>
    <t>Multinationals (BEA survey)</t>
  </si>
  <si>
    <t>Check exact sample</t>
  </si>
  <si>
    <t>Total pre-tax profits (domestic + foreign), S-corp corrected</t>
  </si>
  <si>
    <t>Check</t>
  </si>
  <si>
    <t>Robustness</t>
  </si>
  <si>
    <t>Preferred series</t>
  </si>
  <si>
    <t>Share haven profits (excluding Puerto Rico) in total (domestic + foreign) profits</t>
  </si>
  <si>
    <t>Taxes paid to the US</t>
  </si>
  <si>
    <t>Federal</t>
  </si>
  <si>
    <t>State</t>
  </si>
  <si>
    <t>NIPA Table 3.3</t>
  </si>
  <si>
    <t>Minus: Fed profits</t>
  </si>
  <si>
    <t>Half of S-corp profits are removed as they do not reflect true profit but disguised wages (see Saez-Zucman 2020). Fed profits are removed</t>
  </si>
  <si>
    <t>Estimated based on BEA (2021) prototype estimates: https://www.bea.gov/system/files/2021-05/prototype-nipa-estimates-of-profits-for-s-corporations.pdf. Includes foreign profits (not separately identified)</t>
  </si>
  <si>
    <t>Equals: half of S-corp profits</t>
  </si>
  <si>
    <t>Equals: domestic profit</t>
  </si>
  <si>
    <t>Plus: foreign pre-tax profit</t>
  </si>
  <si>
    <t>Excluding Fed</t>
  </si>
  <si>
    <t>Plus: C-corp profits</t>
  </si>
  <si>
    <t>Total pre-tax profits (domestic + foreign), no S-corp correction</t>
  </si>
  <si>
    <t>Equals: C-corp profits</t>
  </si>
  <si>
    <t>Plus: S-corps profits</t>
  </si>
  <si>
    <t>Equals: Pre-tax domestic corporate profits</t>
  </si>
  <si>
    <t>Effective US+foreign rate on global profits</t>
  </si>
  <si>
    <t>Tax rates of affiliates, corr for current-cost adj</t>
  </si>
  <si>
    <t>(wright-zucman)</t>
  </si>
  <si>
    <t>Tax rates all, corr for current-cost adj</t>
  </si>
  <si>
    <t>No correction for parents</t>
  </si>
  <si>
    <t>Taxes paid abroad (all affiliates)</t>
  </si>
  <si>
    <t>Compustat foreign profits / pre-tax DI equity income at current-cost</t>
  </si>
  <si>
    <t>Compustat US profit / BEA US income of parents</t>
  </si>
  <si>
    <t>Compustat foreign profits / profit-type return of MOFA</t>
  </si>
  <si>
    <t>MOFA profit-type / pre-tax DI equity income at current-cost</t>
  </si>
  <si>
    <t>After-tax MOFA profit-type return / DI equity income at current cost</t>
  </si>
  <si>
    <t>ITA Table 4.2 line 16</t>
  </si>
  <si>
    <t xml:space="preserve">MOFA profit-type / (MOFA profit-type + parent profit type) </t>
  </si>
  <si>
    <t>Pre-tax DI equity income / (Pre-tax DI equity income + parent profit type return)</t>
  </si>
  <si>
    <t>ITA Table 4.2 line 12 minus 16</t>
  </si>
  <si>
    <t>Minus: DI equity income received from RoW, with current-cost adj</t>
  </si>
  <si>
    <t>ITA Table 4.2 line 12</t>
  </si>
  <si>
    <t>NIPA (S-corp corrected)</t>
  </si>
  <si>
    <t>BEA survey profit / NIPA profit (with S-corp correction)</t>
  </si>
  <si>
    <t>Corrected CBCR data</t>
  </si>
  <si>
    <t>(Same, interpolated for missing years in the 1980)</t>
  </si>
  <si>
    <t>NIPA Table 3.2. 1982: OMB has much more than NIPA for fed tax, explains the gap with BEA survey: clarify why</t>
  </si>
  <si>
    <t>Comparisons of aggregates</t>
  </si>
  <si>
    <t>Tax rates computations</t>
  </si>
  <si>
    <t>NIPA, details</t>
  </si>
  <si>
    <t>Current-cost adjustment / DI equity income without ccadj</t>
  </si>
  <si>
    <t>Compustat winsorized</t>
  </si>
  <si>
    <t>Compustat (full sample, no winsorization)</t>
  </si>
  <si>
    <t>File compustat_all_etrs.xlsx</t>
  </si>
  <si>
    <t>Pre-tax DI equity income (no current cost adjustment)</t>
  </si>
  <si>
    <t>2017-2020</t>
  </si>
  <si>
    <t>[Check]</t>
  </si>
  <si>
    <t>pre-tax DI equity income without CCAdj</t>
  </si>
  <si>
    <t>Memo: Compustat pifo / BEA profit-type return</t>
  </si>
  <si>
    <t>Memo: total DI income with CCAdj</t>
  </si>
  <si>
    <t>ITA Table 4.2 line 11</t>
  </si>
  <si>
    <t>Memo: DI investmetn income with CCAdj + foreign taxes paid</t>
  </si>
  <si>
    <t>Used for country level series since BEA does not publish DI equity income by country</t>
  </si>
  <si>
    <t>Computations with links to the raw data can be found in file WrightZucman2018Appendix sheet T.A3c; last updated in July. 2023 using the 2020 BEA survey.</t>
  </si>
  <si>
    <t xml:space="preserve">Puerto Rico profits are from SOI tabulations of form 8975 (CBCR) in 2016–2020; before that they are taken from Saez-Zucman 2019. </t>
  </si>
  <si>
    <t>Table II.F 1. Value Added of Affiliates, Country by Component</t>
  </si>
  <si>
    <t>Profit-type return 1</t>
  </si>
  <si>
    <t>U.S. MNE Activities: Revised 2020 Statistics, Majority-Owned Foreign Affiliates</t>
  </si>
  <si>
    <t>Our table</t>
  </si>
  <si>
    <t>U.S. MNE Activities: Revised 2020 Statistics, All Affiliates and All Parents</t>
  </si>
  <si>
    <t>Table I.P 1. Value Added of U.S. Parents, Industry of U.S. Parent by Component</t>
  </si>
  <si>
    <t>% of foreign</t>
  </si>
  <si>
    <t>domestic</t>
  </si>
  <si>
    <t>foreign</t>
  </si>
  <si>
    <t>Source: https://www.bea.gov/worldwide-activities-us-multinational-enterprises-revised-2020-statistics</t>
  </si>
  <si>
    <t>BEA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</si>
</sst>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00000000000000%"/>
  </numFmts>
  <fonts count="21" x14ac:knownFonts="1">
    <font>
      <sz val="12"/>
      <color theme="1"/>
      <name val="Arial"/>
      <family val="2"/>
    </font>
    <font>
      <sz val="12"/>
      <color theme="1"/>
      <name val="Garamond"/>
      <family val="2"/>
    </font>
    <font>
      <sz val="12"/>
      <color theme="1"/>
      <name val="Arial"/>
      <family val="2"/>
    </font>
    <font>
      <b/>
      <sz val="16"/>
      <color theme="1"/>
      <name val="Arial"/>
      <family val="2"/>
    </font>
    <font>
      <sz val="10"/>
      <color theme="1"/>
      <name val="Arial"/>
      <family val="2"/>
    </font>
    <font>
      <b/>
      <sz val="12"/>
      <color theme="1"/>
      <name val="Arial"/>
      <family val="2"/>
    </font>
    <font>
      <sz val="12"/>
      <color theme="1"/>
      <name val="Arial Narrow"/>
      <family val="2"/>
    </font>
    <font>
      <b/>
      <sz val="12"/>
      <name val="Arial"/>
      <family val="2"/>
    </font>
    <font>
      <sz val="12"/>
      <name val="Arial"/>
      <family val="2"/>
    </font>
    <font>
      <u/>
      <sz val="12"/>
      <color theme="1"/>
      <name val="Arial"/>
      <family val="2"/>
    </font>
    <font>
      <sz val="11"/>
      <color theme="1"/>
      <name val="Calibri"/>
      <family val="2"/>
      <scheme val="minor"/>
    </font>
    <font>
      <sz val="8"/>
      <color theme="1"/>
      <name val="Arial"/>
      <family val="2"/>
    </font>
    <font>
      <b/>
      <sz val="12"/>
      <color rgb="FFFF0000"/>
      <name val="Arial"/>
      <family val="2"/>
    </font>
    <font>
      <sz val="12"/>
      <color rgb="FFFF0000"/>
      <name val="Arial"/>
      <family val="2"/>
    </font>
    <font>
      <sz val="10"/>
      <color theme="1"/>
      <name val="Arial Narrow"/>
      <family val="2"/>
    </font>
    <font>
      <sz val="11"/>
      <color theme="1"/>
      <name val="Arial"/>
      <family val="2"/>
    </font>
    <font>
      <b/>
      <sz val="11"/>
      <color theme="1"/>
      <name val="Arial"/>
      <family val="2"/>
    </font>
    <font>
      <sz val="11"/>
      <color rgb="FFFF0000"/>
      <name val="Arial"/>
      <family val="2"/>
    </font>
    <font>
      <b/>
      <sz val="10"/>
      <color theme="1"/>
      <name val="Arial"/>
      <family val="2"/>
    </font>
    <font>
      <b/>
      <sz val="10"/>
      <color theme="1"/>
      <name val="Arial Narrow"/>
      <family val="2"/>
    </font>
    <font>
      <b/>
      <sz val="8"/>
      <color theme="1"/>
      <name val="Arial"/>
      <family val="2"/>
    </font>
  </fonts>
  <fills count="2">
    <fill>
      <patternFill patternType="none"/>
    </fill>
    <fill>
      <patternFill patternType="gray125"/>
    </fill>
  </fills>
  <borders count="35">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medium">
        <color auto="1"/>
      </left>
      <right/>
      <top style="thin">
        <color auto="1"/>
      </top>
      <bottom/>
      <diagonal/>
    </border>
    <border>
      <left/>
      <right/>
      <top style="thin">
        <color auto="1"/>
      </top>
      <bottom/>
      <diagonal/>
    </border>
    <border>
      <left/>
      <right style="thick">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diagonal/>
    </border>
    <border>
      <left style="medium">
        <color auto="1"/>
      </left>
      <right/>
      <top/>
      <bottom style="thin">
        <color auto="1"/>
      </bottom>
      <diagonal/>
    </border>
    <border>
      <left/>
      <right/>
      <top/>
      <bottom style="thin">
        <color auto="1"/>
      </bottom>
      <diagonal/>
    </border>
    <border>
      <left/>
      <right style="thick">
        <color auto="1"/>
      </right>
      <top/>
      <bottom style="thin">
        <color auto="1"/>
      </bottom>
      <diagonal/>
    </border>
    <border>
      <left style="thick">
        <color auto="1"/>
      </left>
      <right/>
      <top style="thin">
        <color auto="1"/>
      </top>
      <bottom/>
      <diagonal/>
    </border>
    <border>
      <left style="thick">
        <color auto="1"/>
      </left>
      <right/>
      <top/>
      <bottom style="dashed">
        <color auto="1"/>
      </bottom>
      <diagonal/>
    </border>
    <border>
      <left style="medium">
        <color auto="1"/>
      </left>
      <right/>
      <top/>
      <bottom style="dashed">
        <color auto="1"/>
      </bottom>
      <diagonal/>
    </border>
    <border>
      <left/>
      <right/>
      <top/>
      <bottom style="dashed">
        <color auto="1"/>
      </bottom>
      <diagonal/>
    </border>
    <border>
      <left/>
      <right style="thick">
        <color auto="1"/>
      </right>
      <top/>
      <bottom style="dashed">
        <color auto="1"/>
      </bottom>
      <diagonal/>
    </border>
    <border>
      <left style="thick">
        <color auto="1"/>
      </left>
      <right/>
      <top style="dashed">
        <color auto="1"/>
      </top>
      <bottom/>
      <diagonal/>
    </border>
    <border>
      <left style="medium">
        <color auto="1"/>
      </left>
      <right/>
      <top style="dashed">
        <color auto="1"/>
      </top>
      <bottom/>
      <diagonal/>
    </border>
    <border>
      <left/>
      <right/>
      <top style="dashed">
        <color auto="1"/>
      </top>
      <bottom/>
      <diagonal/>
    </border>
    <border>
      <left/>
      <right style="thick">
        <color auto="1"/>
      </right>
      <top style="dashed">
        <color auto="1"/>
      </top>
      <bottom/>
      <diagonal/>
    </border>
    <border>
      <left style="thick">
        <color auto="1"/>
      </left>
      <right/>
      <top/>
      <bottom style="thick">
        <color auto="1"/>
      </bottom>
      <diagonal/>
    </border>
    <border>
      <left style="medium">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
    <xf numFmtId="0" fontId="0" fillId="0" borderId="0"/>
    <xf numFmtId="9" fontId="2" fillId="0" borderId="0" applyFont="0" applyFill="0" applyBorder="0" applyAlignment="0" applyProtection="0"/>
    <xf numFmtId="0" fontId="1" fillId="0" borderId="0"/>
    <xf numFmtId="0" fontId="10" fillId="0" borderId="0"/>
  </cellStyleXfs>
  <cellXfs count="135">
    <xf numFmtId="0" fontId="0" fillId="0" borderId="0" xfId="0"/>
    <xf numFmtId="0" fontId="2" fillId="0" borderId="0" xfId="2" applyFont="1"/>
    <xf numFmtId="0" fontId="3" fillId="0" borderId="4" xfId="2" applyFont="1" applyBorder="1" applyAlignment="1">
      <alignment horizontal="center" vertical="center"/>
    </xf>
    <xf numFmtId="0" fontId="3" fillId="0" borderId="0" xfId="2" applyFont="1" applyAlignment="1">
      <alignment horizontal="center" vertical="center"/>
    </xf>
    <xf numFmtId="0" fontId="2" fillId="0" borderId="5" xfId="2" applyFont="1" applyBorder="1"/>
    <xf numFmtId="0" fontId="2" fillId="0" borderId="4" xfId="2" applyFont="1" applyBorder="1"/>
    <xf numFmtId="0" fontId="4" fillId="0" borderId="0" xfId="0" applyFont="1" applyAlignment="1">
      <alignment horizontal="center"/>
    </xf>
    <xf numFmtId="0" fontId="4" fillId="0" borderId="0" xfId="2" applyFont="1" applyAlignment="1">
      <alignment horizontal="center"/>
    </xf>
    <xf numFmtId="0" fontId="4" fillId="0" borderId="5" xfId="2" applyFont="1" applyBorder="1" applyAlignment="1">
      <alignment horizontal="center"/>
    </xf>
    <xf numFmtId="0" fontId="0" fillId="0" borderId="0" xfId="0" applyAlignment="1">
      <alignment horizontal="center" vertical="center" wrapText="1"/>
    </xf>
    <xf numFmtId="0" fontId="6" fillId="0" borderId="0" xfId="0" applyFont="1" applyAlignment="1">
      <alignment horizontal="center" vertical="center" wrapText="1"/>
    </xf>
    <xf numFmtId="0" fontId="0" fillId="0" borderId="7" xfId="2" applyFont="1" applyBorder="1" applyAlignment="1">
      <alignment horizontal="center" vertical="center" wrapText="1"/>
    </xf>
    <xf numFmtId="0" fontId="6" fillId="0" borderId="0" xfId="2" applyFont="1" applyAlignment="1">
      <alignment horizontal="center" vertical="center" wrapText="1"/>
    </xf>
    <xf numFmtId="0" fontId="5" fillId="0" borderId="13" xfId="2" applyFont="1" applyBorder="1" applyAlignment="1">
      <alignment horizontal="center" vertical="center" wrapText="1"/>
    </xf>
    <xf numFmtId="0" fontId="2" fillId="0" borderId="13" xfId="2" applyFont="1" applyBorder="1" applyAlignment="1">
      <alignment vertical="center" wrapText="1"/>
    </xf>
    <xf numFmtId="0" fontId="2" fillId="0" borderId="13" xfId="2" applyFont="1" applyBorder="1" applyAlignment="1">
      <alignment horizontal="center" vertical="center" wrapText="1"/>
    </xf>
    <xf numFmtId="0" fontId="2" fillId="0" borderId="15" xfId="2" applyFont="1" applyBorder="1" applyAlignment="1">
      <alignment horizontal="center"/>
    </xf>
    <xf numFmtId="9" fontId="7" fillId="0" borderId="6" xfId="1" applyFont="1" applyBorder="1" applyAlignment="1">
      <alignment horizontal="center" vertical="center" wrapText="1"/>
    </xf>
    <xf numFmtId="9" fontId="8" fillId="0" borderId="7" xfId="1" applyFont="1" applyBorder="1" applyAlignment="1">
      <alignment horizontal="center" vertical="center" wrapText="1"/>
    </xf>
    <xf numFmtId="9" fontId="2" fillId="0" borderId="7" xfId="1" applyFont="1" applyBorder="1" applyAlignment="1">
      <alignment horizontal="center" vertical="center"/>
    </xf>
    <xf numFmtId="3" fontId="2" fillId="0" borderId="6" xfId="1" applyNumberFormat="1" applyFont="1" applyBorder="1" applyAlignment="1">
      <alignment horizontal="center" vertical="center"/>
    </xf>
    <xf numFmtId="3" fontId="2" fillId="0" borderId="8" xfId="1" applyNumberFormat="1" applyFont="1" applyBorder="1" applyAlignment="1">
      <alignment horizontal="center" vertical="center"/>
    </xf>
    <xf numFmtId="164" fontId="4" fillId="0" borderId="0" xfId="2" applyNumberFormat="1" applyFont="1"/>
    <xf numFmtId="9" fontId="2" fillId="0" borderId="0" xfId="2" applyNumberFormat="1" applyFont="1" applyAlignment="1">
      <alignment horizontal="center" vertical="center" wrapText="1"/>
    </xf>
    <xf numFmtId="0" fontId="2" fillId="0" borderId="4" xfId="2" applyFont="1" applyBorder="1" applyAlignment="1">
      <alignment horizontal="center"/>
    </xf>
    <xf numFmtId="9" fontId="7" fillId="0" borderId="11" xfId="1" applyFont="1" applyBorder="1" applyAlignment="1">
      <alignment horizontal="center" vertical="center" wrapText="1"/>
    </xf>
    <xf numFmtId="9" fontId="8" fillId="0" borderId="0" xfId="1" applyFont="1" applyBorder="1" applyAlignment="1">
      <alignment horizontal="center" vertical="center" wrapText="1"/>
    </xf>
    <xf numFmtId="9" fontId="2" fillId="0" borderId="0" xfId="1" applyFont="1" applyBorder="1" applyAlignment="1">
      <alignment horizontal="center" vertical="center"/>
    </xf>
    <xf numFmtId="3" fontId="2" fillId="0" borderId="11" xfId="1" applyNumberFormat="1" applyFont="1" applyBorder="1" applyAlignment="1">
      <alignment horizontal="center" vertical="center"/>
    </xf>
    <xf numFmtId="3" fontId="2" fillId="0" borderId="5" xfId="1" applyNumberFormat="1" applyFont="1" applyBorder="1" applyAlignment="1">
      <alignment horizontal="center" vertical="center"/>
    </xf>
    <xf numFmtId="0" fontId="2" fillId="0" borderId="16" xfId="2" applyFont="1" applyBorder="1" applyAlignment="1">
      <alignment horizontal="center"/>
    </xf>
    <xf numFmtId="9" fontId="7" fillId="0" borderId="17" xfId="1" applyFont="1" applyBorder="1" applyAlignment="1">
      <alignment horizontal="center" vertical="center" wrapText="1"/>
    </xf>
    <xf numFmtId="9" fontId="8" fillId="0" borderId="18" xfId="1" applyFont="1" applyBorder="1" applyAlignment="1">
      <alignment horizontal="center" vertical="center" wrapText="1"/>
    </xf>
    <xf numFmtId="9" fontId="2" fillId="0" borderId="18" xfId="1" applyFont="1" applyBorder="1" applyAlignment="1">
      <alignment horizontal="center" vertical="center"/>
    </xf>
    <xf numFmtId="3" fontId="2" fillId="0" borderId="17" xfId="1" applyNumberFormat="1" applyFont="1" applyBorder="1" applyAlignment="1">
      <alignment horizontal="center" vertical="center"/>
    </xf>
    <xf numFmtId="3" fontId="2" fillId="0" borderId="19" xfId="1" applyNumberFormat="1" applyFont="1" applyBorder="1" applyAlignment="1">
      <alignment horizontal="center" vertical="center"/>
    </xf>
    <xf numFmtId="0" fontId="2" fillId="0" borderId="20" xfId="2" applyFont="1" applyBorder="1" applyAlignment="1">
      <alignment horizontal="center"/>
    </xf>
    <xf numFmtId="9" fontId="7" fillId="0" borderId="21" xfId="1" applyFont="1" applyBorder="1" applyAlignment="1">
      <alignment horizontal="center" vertical="center" wrapText="1"/>
    </xf>
    <xf numFmtId="9" fontId="8" fillId="0" borderId="22" xfId="1" applyFont="1" applyBorder="1" applyAlignment="1">
      <alignment horizontal="center" vertical="center" wrapText="1"/>
    </xf>
    <xf numFmtId="9" fontId="2" fillId="0" borderId="22" xfId="1" applyFont="1" applyBorder="1" applyAlignment="1">
      <alignment horizontal="center" vertical="center"/>
    </xf>
    <xf numFmtId="3" fontId="2" fillId="0" borderId="21" xfId="1" applyNumberFormat="1" applyFont="1" applyBorder="1" applyAlignment="1">
      <alignment horizontal="center" vertical="center"/>
    </xf>
    <xf numFmtId="3" fontId="2" fillId="0" borderId="23" xfId="1" applyNumberFormat="1" applyFont="1" applyBorder="1" applyAlignment="1">
      <alignment horizontal="center" vertical="center"/>
    </xf>
    <xf numFmtId="0" fontId="0" fillId="0" borderId="0" xfId="2" applyFont="1"/>
    <xf numFmtId="9" fontId="2" fillId="0" borderId="0" xfId="1" applyFont="1" applyBorder="1" applyAlignment="1">
      <alignment horizontal="center"/>
    </xf>
    <xf numFmtId="9" fontId="2" fillId="0" borderId="18" xfId="1" applyFont="1" applyBorder="1" applyAlignment="1">
      <alignment horizontal="center"/>
    </xf>
    <xf numFmtId="0" fontId="5" fillId="0" borderId="0" xfId="2" applyFont="1"/>
    <xf numFmtId="0" fontId="5" fillId="0" borderId="31" xfId="2" applyFont="1" applyBorder="1"/>
    <xf numFmtId="0" fontId="2" fillId="0" borderId="33" xfId="2" applyFont="1" applyBorder="1"/>
    <xf numFmtId="0" fontId="5" fillId="0" borderId="33" xfId="2" applyFont="1" applyBorder="1"/>
    <xf numFmtId="0" fontId="5" fillId="0" borderId="34" xfId="2" applyFont="1" applyBorder="1"/>
    <xf numFmtId="0" fontId="2" fillId="0" borderId="11" xfId="2" applyFont="1" applyBorder="1"/>
    <xf numFmtId="0" fontId="2" fillId="0" borderId="32" xfId="2" applyFont="1" applyBorder="1"/>
    <xf numFmtId="0" fontId="11" fillId="0" borderId="0" xfId="2" applyFont="1" applyAlignment="1">
      <alignment horizontal="center" vertical="center" wrapText="1"/>
    </xf>
    <xf numFmtId="3" fontId="2" fillId="0" borderId="0" xfId="2" applyNumberFormat="1" applyFont="1" applyAlignment="1">
      <alignment horizontal="center"/>
    </xf>
    <xf numFmtId="9" fontId="2" fillId="0" borderId="0" xfId="1" applyFont="1" applyAlignment="1">
      <alignment horizontal="center"/>
    </xf>
    <xf numFmtId="3" fontId="5" fillId="0" borderId="0" xfId="2" applyNumberFormat="1" applyFont="1" applyAlignment="1">
      <alignment horizontal="center"/>
    </xf>
    <xf numFmtId="9" fontId="5" fillId="0" borderId="0" xfId="1" applyFont="1" applyAlignment="1">
      <alignment horizontal="center"/>
    </xf>
    <xf numFmtId="9" fontId="2" fillId="0" borderId="0" xfId="1" applyFont="1" applyAlignment="1">
      <alignment horizontal="center" wrapText="1"/>
    </xf>
    <xf numFmtId="0" fontId="5" fillId="0" borderId="0" xfId="0" applyFont="1"/>
    <xf numFmtId="0" fontId="0" fillId="0" borderId="0" xfId="0" applyAlignment="1">
      <alignment horizontal="center"/>
    </xf>
    <xf numFmtId="165" fontId="0" fillId="0" borderId="0" xfId="0" applyNumberFormat="1" applyAlignment="1">
      <alignment horizontal="center"/>
    </xf>
    <xf numFmtId="164" fontId="2" fillId="0" borderId="0" xfId="2" applyNumberFormat="1" applyFont="1" applyAlignment="1">
      <alignment horizontal="center"/>
    </xf>
    <xf numFmtId="0" fontId="2" fillId="0" borderId="24" xfId="2" applyFont="1" applyBorder="1" applyAlignment="1">
      <alignment horizontal="center" vertical="center"/>
    </xf>
    <xf numFmtId="9" fontId="2" fillId="0" borderId="26" xfId="1" applyFont="1" applyBorder="1" applyAlignment="1">
      <alignment horizontal="center"/>
    </xf>
    <xf numFmtId="9" fontId="5" fillId="0" borderId="25" xfId="2" applyNumberFormat="1" applyFont="1" applyBorder="1" applyAlignment="1">
      <alignment horizontal="center"/>
    </xf>
    <xf numFmtId="9" fontId="5" fillId="0" borderId="25" xfId="1" applyFont="1" applyBorder="1" applyAlignment="1">
      <alignment horizontal="center" vertical="center" wrapText="1"/>
    </xf>
    <xf numFmtId="1" fontId="2" fillId="0" borderId="0" xfId="2" applyNumberFormat="1" applyFont="1" applyAlignment="1">
      <alignment horizontal="center"/>
    </xf>
    <xf numFmtId="9" fontId="0" fillId="0" borderId="0" xfId="1" applyFont="1" applyAlignment="1">
      <alignment horizontal="center"/>
    </xf>
    <xf numFmtId="165" fontId="0" fillId="0" borderId="0" xfId="0" applyNumberFormat="1" applyAlignment="1">
      <alignment horizontal="left"/>
    </xf>
    <xf numFmtId="0" fontId="4" fillId="0" borderId="0" xfId="0" applyFont="1"/>
    <xf numFmtId="0" fontId="14" fillId="0" borderId="0" xfId="0" applyFont="1" applyAlignment="1">
      <alignment horizontal="center" vertical="center" wrapText="1"/>
    </xf>
    <xf numFmtId="10" fontId="4" fillId="0" borderId="0" xfId="1" applyNumberFormat="1" applyFont="1" applyAlignment="1">
      <alignment horizontal="center"/>
    </xf>
    <xf numFmtId="9" fontId="12" fillId="0" borderId="0" xfId="1" applyFont="1" applyAlignment="1">
      <alignment horizontal="center"/>
    </xf>
    <xf numFmtId="164" fontId="0" fillId="0" borderId="0" xfId="1" applyNumberFormat="1" applyFont="1" applyAlignment="1">
      <alignment horizontal="center"/>
    </xf>
    <xf numFmtId="164" fontId="0" fillId="0" borderId="0" xfId="0" applyNumberFormat="1" applyAlignment="1">
      <alignment horizontal="center"/>
    </xf>
    <xf numFmtId="164" fontId="2" fillId="0" borderId="0" xfId="1" applyNumberFormat="1" applyFont="1" applyAlignment="1">
      <alignment horizontal="center"/>
    </xf>
    <xf numFmtId="164" fontId="13" fillId="0" borderId="0" xfId="2" applyNumberFormat="1" applyFont="1" applyAlignment="1">
      <alignment horizontal="center"/>
    </xf>
    <xf numFmtId="0" fontId="11" fillId="0" borderId="0" xfId="2" applyFont="1" applyAlignment="1">
      <alignment horizontal="center" vertical="center"/>
    </xf>
    <xf numFmtId="0" fontId="15" fillId="0" borderId="0" xfId="3" applyFont="1"/>
    <xf numFmtId="0" fontId="16" fillId="0" borderId="0" xfId="3" applyFont="1"/>
    <xf numFmtId="0" fontId="16" fillId="0" borderId="0" xfId="3" applyFont="1" applyAlignment="1">
      <alignment horizontal="center" vertical="top" wrapText="1"/>
    </xf>
    <xf numFmtId="0" fontId="15" fillId="0" borderId="0" xfId="3" applyFont="1" applyAlignment="1">
      <alignment wrapText="1"/>
    </xf>
    <xf numFmtId="0" fontId="11" fillId="0" borderId="0" xfId="3" applyFont="1" applyAlignment="1">
      <alignment horizontal="center" vertical="center" wrapText="1"/>
    </xf>
    <xf numFmtId="9" fontId="15" fillId="0" borderId="0" xfId="1" applyFont="1" applyAlignment="1">
      <alignment wrapText="1"/>
    </xf>
    <xf numFmtId="3" fontId="15" fillId="0" borderId="0" xfId="3" applyNumberFormat="1" applyFont="1" applyAlignment="1">
      <alignment wrapText="1"/>
    </xf>
    <xf numFmtId="0" fontId="16" fillId="0" borderId="0" xfId="3" applyFont="1" applyAlignment="1">
      <alignment horizontal="center" vertical="top"/>
    </xf>
    <xf numFmtId="9" fontId="17" fillId="0" borderId="0" xfId="3" applyNumberFormat="1" applyFont="1" applyAlignment="1">
      <alignment horizontal="center"/>
    </xf>
    <xf numFmtId="0" fontId="18" fillId="0" borderId="0" xfId="3" applyFont="1" applyAlignment="1">
      <alignment horizontal="center" vertical="center" wrapText="1"/>
    </xf>
    <xf numFmtId="0" fontId="4" fillId="0" borderId="0" xfId="3" applyFont="1" applyAlignment="1">
      <alignment horizontal="center" vertical="center" wrapText="1"/>
    </xf>
    <xf numFmtId="0" fontId="4" fillId="0" borderId="0" xfId="2" applyFont="1" applyAlignment="1">
      <alignment horizontal="center" vertical="center"/>
    </xf>
    <xf numFmtId="0" fontId="4" fillId="0" borderId="0" xfId="2" applyFont="1" applyAlignment="1">
      <alignment horizontal="center" vertical="center" wrapText="1"/>
    </xf>
    <xf numFmtId="0" fontId="19" fillId="0" borderId="0" xfId="2" applyFont="1" applyAlignment="1">
      <alignment horizontal="center" vertical="center" wrapText="1"/>
    </xf>
    <xf numFmtId="0" fontId="18" fillId="0" borderId="0" xfId="2" applyFont="1" applyAlignment="1">
      <alignment horizontal="center" vertical="center" wrapText="1"/>
    </xf>
    <xf numFmtId="0" fontId="18" fillId="0" borderId="0" xfId="0" applyFont="1" applyAlignment="1">
      <alignment horizontal="center"/>
    </xf>
    <xf numFmtId="0" fontId="19" fillId="0" borderId="0" xfId="0" applyFont="1" applyAlignment="1">
      <alignment horizontal="center" vertical="center" wrapText="1"/>
    </xf>
    <xf numFmtId="0" fontId="4" fillId="0" borderId="0" xfId="0" applyFont="1" applyAlignment="1">
      <alignment horizontal="center" vertical="center" wrapText="1"/>
    </xf>
    <xf numFmtId="9" fontId="15" fillId="0" borderId="0" xfId="1" applyFont="1" applyAlignment="1">
      <alignment horizontal="center" wrapText="1"/>
    </xf>
    <xf numFmtId="0" fontId="2" fillId="0" borderId="0" xfId="3" applyFont="1" applyAlignment="1">
      <alignment horizontal="center" wrapText="1"/>
    </xf>
    <xf numFmtId="9" fontId="11" fillId="0" borderId="0" xfId="1" applyFont="1" applyBorder="1" applyAlignment="1">
      <alignment horizontal="center"/>
    </xf>
    <xf numFmtId="3" fontId="0" fillId="0" borderId="0" xfId="0" applyNumberFormat="1" applyAlignment="1">
      <alignment horizontal="center"/>
    </xf>
    <xf numFmtId="0" fontId="11" fillId="0" borderId="0" xfId="3" applyFont="1" applyAlignment="1">
      <alignment horizontal="center" vertical="center"/>
    </xf>
    <xf numFmtId="9" fontId="15" fillId="0" borderId="0" xfId="3" applyNumberFormat="1" applyFont="1" applyAlignment="1">
      <alignment horizontal="center"/>
    </xf>
    <xf numFmtId="0" fontId="15" fillId="0" borderId="0" xfId="3" applyFont="1" applyAlignment="1">
      <alignment horizontal="center"/>
    </xf>
    <xf numFmtId="3" fontId="15" fillId="0" borderId="0" xfId="3" applyNumberFormat="1" applyFont="1"/>
    <xf numFmtId="167" fontId="15" fillId="0" borderId="0" xfId="3" applyNumberFormat="1" applyFont="1"/>
    <xf numFmtId="0" fontId="20" fillId="0" borderId="0" xfId="3" applyFont="1" applyAlignment="1">
      <alignment horizontal="center" vertical="center" wrapText="1"/>
    </xf>
    <xf numFmtId="3" fontId="16" fillId="0" borderId="0" xfId="3" applyNumberFormat="1" applyFont="1" applyAlignment="1">
      <alignment horizontal="center" wrapText="1"/>
    </xf>
    <xf numFmtId="165" fontId="16" fillId="0" borderId="0" xfId="3" applyNumberFormat="1" applyFont="1" applyAlignment="1">
      <alignment horizontal="center" wrapText="1"/>
    </xf>
    <xf numFmtId="0" fontId="20" fillId="0" borderId="0" xfId="2" applyFont="1" applyAlignment="1">
      <alignment horizontal="center" vertical="center" wrapText="1"/>
    </xf>
    <xf numFmtId="165" fontId="5" fillId="0" borderId="0" xfId="2" applyNumberFormat="1" applyFont="1" applyAlignment="1">
      <alignment horizontal="center"/>
    </xf>
    <xf numFmtId="165" fontId="2" fillId="0" borderId="0" xfId="2" applyNumberFormat="1" applyFont="1" applyAlignment="1">
      <alignment horizontal="center"/>
    </xf>
    <xf numFmtId="9" fontId="0" fillId="0" borderId="0" xfId="0" applyNumberFormat="1"/>
    <xf numFmtId="166" fontId="15" fillId="0" borderId="0" xfId="3" applyNumberFormat="1" applyFont="1" applyAlignment="1">
      <alignment horizontal="center"/>
    </xf>
    <xf numFmtId="3" fontId="2" fillId="0" borderId="27" xfId="2" applyNumberFormat="1" applyFont="1" applyBorder="1" applyAlignment="1">
      <alignment horizontal="center"/>
    </xf>
    <xf numFmtId="1" fontId="2" fillId="0" borderId="25" xfId="2" applyNumberFormat="1" applyFont="1" applyBorder="1" applyAlignment="1">
      <alignment horizontal="center"/>
    </xf>
    <xf numFmtId="10" fontId="2" fillId="0" borderId="0" xfId="1" applyNumberFormat="1" applyFont="1" applyAlignment="1">
      <alignment horizontal="center"/>
    </xf>
    <xf numFmtId="9" fontId="0" fillId="0" borderId="0" xfId="1" applyFont="1"/>
    <xf numFmtId="0" fontId="0" fillId="0" borderId="28" xfId="2" applyFont="1" applyBorder="1" applyAlignment="1">
      <alignment vertical="center" wrapText="1"/>
    </xf>
    <xf numFmtId="0" fontId="0" fillId="0" borderId="29" xfId="2" applyFont="1" applyBorder="1" applyAlignment="1">
      <alignment vertical="center" wrapText="1"/>
    </xf>
    <xf numFmtId="0" fontId="0" fillId="0" borderId="30" xfId="2" applyFont="1" applyBorder="1" applyAlignment="1">
      <alignment vertical="center" wrapText="1"/>
    </xf>
    <xf numFmtId="0" fontId="3" fillId="0" borderId="1" xfId="2" applyFont="1" applyBorder="1" applyAlignment="1">
      <alignment horizontal="center" vertical="center" wrapText="1"/>
    </xf>
    <xf numFmtId="0" fontId="3" fillId="0" borderId="2" xfId="2" applyFont="1" applyBorder="1" applyAlignment="1">
      <alignment horizontal="center" vertical="center" wrapText="1"/>
    </xf>
    <xf numFmtId="0" fontId="3" fillId="0" borderId="3" xfId="2" applyFont="1" applyBorder="1" applyAlignment="1">
      <alignment horizontal="center" vertical="center" wrapText="1"/>
    </xf>
    <xf numFmtId="0" fontId="5" fillId="0" borderId="6" xfId="2" applyFont="1" applyBorder="1" applyAlignment="1">
      <alignment horizontal="center" vertical="center"/>
    </xf>
    <xf numFmtId="0" fontId="5" fillId="0" borderId="7" xfId="2" applyFont="1" applyBorder="1" applyAlignment="1">
      <alignment horizontal="center" vertical="center"/>
    </xf>
    <xf numFmtId="0" fontId="0" fillId="0" borderId="6" xfId="2" applyFont="1" applyBorder="1" applyAlignment="1">
      <alignment horizontal="center" vertical="center" wrapText="1"/>
    </xf>
    <xf numFmtId="0" fontId="2" fillId="0" borderId="11" xfId="2" applyFont="1" applyBorder="1" applyAlignment="1">
      <alignment horizontal="center" vertical="center" wrapText="1"/>
    </xf>
    <xf numFmtId="0" fontId="2" fillId="0" borderId="12" xfId="2" applyFont="1" applyBorder="1" applyAlignment="1">
      <alignment horizontal="center" vertical="center" wrapText="1"/>
    </xf>
    <xf numFmtId="0" fontId="0" fillId="0" borderId="8" xfId="2" applyFont="1" applyBorder="1" applyAlignment="1">
      <alignment horizontal="center" vertical="center" wrapText="1"/>
    </xf>
    <xf numFmtId="0" fontId="2" fillId="0" borderId="5" xfId="2" applyFont="1" applyBorder="1" applyAlignment="1">
      <alignment horizontal="center" vertical="center" wrapText="1"/>
    </xf>
    <xf numFmtId="0" fontId="2" fillId="0" borderId="14" xfId="2" applyFont="1" applyBorder="1" applyAlignment="1">
      <alignment horizontal="center" vertical="center" wrapText="1"/>
    </xf>
    <xf numFmtId="0" fontId="0" fillId="0" borderId="9" xfId="2" applyFont="1" applyBorder="1" applyAlignment="1">
      <alignment horizontal="center" vertical="center"/>
    </xf>
    <xf numFmtId="0" fontId="0" fillId="0" borderId="10" xfId="2" applyFont="1" applyBorder="1" applyAlignment="1">
      <alignment horizontal="center" vertical="center"/>
    </xf>
    <xf numFmtId="0" fontId="5" fillId="0" borderId="6" xfId="2" applyFont="1" applyBorder="1" applyAlignment="1">
      <alignment horizontal="center" vertical="center" wrapText="1"/>
    </xf>
    <xf numFmtId="0" fontId="5" fillId="0" borderId="12" xfId="2" applyFont="1" applyBorder="1" applyAlignment="1">
      <alignment horizontal="center" vertical="center" wrapText="1"/>
    </xf>
  </cellXfs>
  <cellStyles count="4">
    <cellStyle name="Normal" xfId="0" builtinId="0"/>
    <cellStyle name="Normal 2" xfId="3" xr:uid="{01261B2F-D56A-934F-B549-730A91B3D0B7}"/>
    <cellStyle name="Normal 32" xfId="2" xr:uid="{4D39B1EE-B517-0148-A5E3-4B5D0D01C4A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theme" Target="theme/theme1.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calcChain" Target="calcChain.xml"/><Relationship Id="rId7" Type="http://schemas.openxmlformats.org/officeDocument/2006/relationships/chartsheet" Target="chartsheets/sheet4.xml"/><Relationship Id="rId2" Type="http://schemas.openxmlformats.org/officeDocument/2006/relationships/chartsheet" Target="chartsheets/sheet1.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3.xml"/><Relationship Id="rId11" Type="http://schemas.openxmlformats.org/officeDocument/2006/relationships/worksheet" Target="worksheets/sheet4.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styles" Target="styles.xml"/><Relationship Id="rId5" Type="http://schemas.openxmlformats.org/officeDocument/2006/relationships/worksheet" Target="worksheets/sheet2.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10" Type="http://schemas.openxmlformats.org/officeDocument/2006/relationships/chartsheet" Target="chartsheets/sheet7.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 Type="http://schemas.openxmlformats.org/officeDocument/2006/relationships/chartsheet" Target="chartsheets/sheet3.xml"/><Relationship Id="rId9" Type="http://schemas.openxmlformats.org/officeDocument/2006/relationships/chartsheet" Target="chartsheets/sheet6.xml"/><Relationship Id="rId14" Type="http://schemas.openxmlformats.org/officeDocument/2006/relationships/worksheet" Target="worksheets/sheet7.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8" Type="http://schemas.openxmlformats.org/officeDocument/2006/relationships/chartsheet" Target="chartsheets/sheet5.xml"/><Relationship Id="rId3" Type="http://schemas.openxmlformats.org/officeDocument/2006/relationships/chartsheet" Target="chartsheets/sheet2.xml"/><Relationship Id="rId12" Type="http://schemas.openxmlformats.org/officeDocument/2006/relationships/worksheet" Target="worksheets/sheet5.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233695714829203"/>
          <c:y val="3.4548389221322549E-2"/>
          <c:w val="0.84887826979167857"/>
          <c:h val="0.83904367284201031"/>
        </c:manualLayout>
      </c:layout>
      <c:lineChart>
        <c:grouping val="standard"/>
        <c:varyColors val="0"/>
        <c:ser>
          <c:idx val="2"/>
          <c:order val="0"/>
          <c:tx>
            <c:v>All corporations (NIPA)</c:v>
          </c:tx>
          <c:spPr>
            <a:ln w="28575" cap="rnd">
              <a:solidFill>
                <a:schemeClr val="accent3"/>
              </a:solidFill>
              <a:round/>
            </a:ln>
            <a:effectLst/>
          </c:spPr>
          <c:marker>
            <c:symbol val="none"/>
          </c:marker>
          <c:cat>
            <c:numRef>
              <c:f>Data!$A$5:$A$44</c:f>
              <c:numCache>
                <c:formatCode>General</c:formatCode>
                <c:ptCount val="40"/>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Data!$AR$5:$AR$44</c:f>
              <c:numCache>
                <c:formatCode>0%</c:formatCode>
                <c:ptCount val="40"/>
                <c:pt idx="0">
                  <c:v>0.2639029315161463</c:v>
                </c:pt>
                <c:pt idx="1">
                  <c:v>0.23061191022110608</c:v>
                </c:pt>
                <c:pt idx="2">
                  <c:v>0.21678093423207798</c:v>
                </c:pt>
                <c:pt idx="3">
                  <c:v>0.20336934217596014</c:v>
                </c:pt>
                <c:pt idx="4">
                  <c:v>0.19743546514444185</c:v>
                </c:pt>
                <c:pt idx="5">
                  <c:v>0.20047477173598649</c:v>
                </c:pt>
                <c:pt idx="6">
                  <c:v>0.21563725211903792</c:v>
                </c:pt>
                <c:pt idx="7">
                  <c:v>0.2225079150148386</c:v>
                </c:pt>
                <c:pt idx="8">
                  <c:v>0.2248359255252132</c:v>
                </c:pt>
                <c:pt idx="9">
                  <c:v>0.18594976883648864</c:v>
                </c:pt>
                <c:pt idx="10">
                  <c:v>0.1759525735434605</c:v>
                </c:pt>
                <c:pt idx="11">
                  <c:v>0.17278009576132383</c:v>
                </c:pt>
                <c:pt idx="12">
                  <c:v>0.16968972705454177</c:v>
                </c:pt>
                <c:pt idx="13">
                  <c:v>0.18495166082754622</c:v>
                </c:pt>
                <c:pt idx="14">
                  <c:v>0.1803782720265962</c:v>
                </c:pt>
                <c:pt idx="15">
                  <c:v>0.18057647016288519</c:v>
                </c:pt>
                <c:pt idx="16">
                  <c:v>0.17123877396336068</c:v>
                </c:pt>
                <c:pt idx="17">
                  <c:v>0.20989498669013434</c:v>
                </c:pt>
                <c:pt idx="18">
                  <c:v>0.26398932990237928</c:v>
                </c:pt>
                <c:pt idx="19">
                  <c:v>0.24231294678524076</c:v>
                </c:pt>
                <c:pt idx="20">
                  <c:v>0.21367125520483449</c:v>
                </c:pt>
                <c:pt idx="21">
                  <c:v>0.2235077206035733</c:v>
                </c:pt>
                <c:pt idx="22">
                  <c:v>0.24590815467840879</c:v>
                </c:pt>
                <c:pt idx="23">
                  <c:v>0.25626657799575597</c:v>
                </c:pt>
                <c:pt idx="24">
                  <c:v>0.2589169162396574</c:v>
                </c:pt>
                <c:pt idx="25">
                  <c:v>0.31626747220332008</c:v>
                </c:pt>
                <c:pt idx="26">
                  <c:v>0.4236641074872145</c:v>
                </c:pt>
                <c:pt idx="27">
                  <c:v>0.33957745221694463</c:v>
                </c:pt>
                <c:pt idx="28">
                  <c:v>0.33598194716510671</c:v>
                </c:pt>
                <c:pt idx="29">
                  <c:v>0.34831007430669025</c:v>
                </c:pt>
                <c:pt idx="30">
                  <c:v>0.3047173722176027</c:v>
                </c:pt>
                <c:pt idx="31">
                  <c:v>0.30683260703355125</c:v>
                </c:pt>
                <c:pt idx="32">
                  <c:v>0.28955343197580707</c:v>
                </c:pt>
                <c:pt idx="33">
                  <c:v>0.26794976673449977</c:v>
                </c:pt>
                <c:pt idx="34">
                  <c:v>0.27713729446080082</c:v>
                </c:pt>
                <c:pt idx="35">
                  <c:v>0.31628498599852117</c:v>
                </c:pt>
                <c:pt idx="36">
                  <c:v>0.30917517839492903</c:v>
                </c:pt>
                <c:pt idx="37">
                  <c:v>0.30242193404197953</c:v>
                </c:pt>
                <c:pt idx="38">
                  <c:v>0.27351977536149286</c:v>
                </c:pt>
              </c:numCache>
            </c:numRef>
          </c:val>
          <c:smooth val="0"/>
          <c:extLst>
            <c:ext xmlns:c16="http://schemas.microsoft.com/office/drawing/2014/chart" uri="{C3380CC4-5D6E-409C-BE32-E72D297353CC}">
              <c16:uniqueId val="{00000002-BCB8-C343-AC4D-A32758E81D3F}"/>
            </c:ext>
          </c:extLst>
        </c:ser>
        <c:ser>
          <c:idx val="1"/>
          <c:order val="1"/>
          <c:tx>
            <c:v>Multinational corporations (BEA survey)</c:v>
          </c:tx>
          <c:spPr>
            <a:ln w="28575" cap="rnd">
              <a:solidFill>
                <a:schemeClr val="accent2"/>
              </a:solidFill>
              <a:round/>
            </a:ln>
            <a:effectLst/>
          </c:spPr>
          <c:marker>
            <c:symbol val="none"/>
          </c:marker>
          <c:cat>
            <c:numRef>
              <c:f>Data!$A$5:$A$44</c:f>
              <c:numCache>
                <c:formatCode>General</c:formatCode>
                <c:ptCount val="40"/>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Data!$Q$5:$Q$44</c:f>
              <c:numCache>
                <c:formatCode>General</c:formatCode>
                <c:ptCount val="40"/>
                <c:pt idx="0" formatCode="0%">
                  <c:v>0.31335540322391964</c:v>
                </c:pt>
                <c:pt idx="7" formatCode="0%">
                  <c:v>0.34897867656052511</c:v>
                </c:pt>
                <c:pt idx="12" formatCode="0%">
                  <c:v>0.26223695224445798</c:v>
                </c:pt>
                <c:pt idx="13" formatCode="0%">
                  <c:v>0.30139178570960079</c:v>
                </c:pt>
                <c:pt idx="14" formatCode="0%">
                  <c:v>0.28471125038515249</c:v>
                </c:pt>
                <c:pt idx="15" formatCode="0%">
                  <c:v>0.29896268483522309</c:v>
                </c:pt>
                <c:pt idx="16" formatCode="0%">
                  <c:v>0.25989443149139591</c:v>
                </c:pt>
                <c:pt idx="17" formatCode="0%">
                  <c:v>0.25782336894335939</c:v>
                </c:pt>
                <c:pt idx="18" formatCode="0%">
                  <c:v>0.27867122283176127</c:v>
                </c:pt>
                <c:pt idx="19" formatCode="0%">
                  <c:v>0.3417877787352705</c:v>
                </c:pt>
                <c:pt idx="20" formatCode="0%">
                  <c:v>0.33263920621450482</c:v>
                </c:pt>
                <c:pt idx="21" formatCode="0%">
                  <c:v>0.33560337296988929</c:v>
                </c:pt>
                <c:pt idx="22" formatCode="0%">
                  <c:v>0.34041626706764699</c:v>
                </c:pt>
                <c:pt idx="23" formatCode="0%">
                  <c:v>0.35991362835152685</c:v>
                </c:pt>
                <c:pt idx="24" formatCode="0%">
                  <c:v>0.35244053788532392</c:v>
                </c:pt>
                <c:pt idx="25" formatCode="0%">
                  <c:v>0.39816004600833993</c:v>
                </c:pt>
                <c:pt idx="26" formatCode="0%">
                  <c:v>0.47658549525173749</c:v>
                </c:pt>
                <c:pt idx="27" formatCode="0%">
                  <c:v>0.45429621399880354</c:v>
                </c:pt>
                <c:pt idx="28" formatCode="0%">
                  <c:v>0.39492031616075801</c:v>
                </c:pt>
                <c:pt idx="29" formatCode="0%">
                  <c:v>0.39853255059894804</c:v>
                </c:pt>
                <c:pt idx="30" formatCode="0%">
                  <c:v>0.39221772132894089</c:v>
                </c:pt>
                <c:pt idx="31" formatCode="0%">
                  <c:v>0.33427005191798681</c:v>
                </c:pt>
                <c:pt idx="32" formatCode="0%">
                  <c:v>0.33007659537973999</c:v>
                </c:pt>
                <c:pt idx="33" formatCode="0%">
                  <c:v>0.31424632220059434</c:v>
                </c:pt>
                <c:pt idx="34" formatCode="0%">
                  <c:v>0.29590179187965704</c:v>
                </c:pt>
                <c:pt idx="35" formatCode="0%">
                  <c:v>0.35519082097580529</c:v>
                </c:pt>
                <c:pt idx="36" formatCode="0%">
                  <c:v>0.31622600233204262</c:v>
                </c:pt>
                <c:pt idx="37" formatCode="0%">
                  <c:v>0.3095515248615236</c:v>
                </c:pt>
                <c:pt idx="38" formatCode="0%">
                  <c:v>0.38607439951668199</c:v>
                </c:pt>
                <c:pt idx="39" formatCode="0%">
                  <c:v>0.26114557397666532</c:v>
                </c:pt>
              </c:numCache>
            </c:numRef>
          </c:val>
          <c:smooth val="0"/>
          <c:extLst>
            <c:ext xmlns:c16="http://schemas.microsoft.com/office/drawing/2014/chart" uri="{C3380CC4-5D6E-409C-BE32-E72D297353CC}">
              <c16:uniqueId val="{00000001-BCB8-C343-AC4D-A32758E81D3F}"/>
            </c:ext>
          </c:extLst>
        </c:ser>
        <c:ser>
          <c:idx val="0"/>
          <c:order val="2"/>
          <c:tx>
            <c:v>Listed corporations (Compustat)</c:v>
          </c:tx>
          <c:spPr>
            <a:ln w="28575" cap="rnd">
              <a:solidFill>
                <a:schemeClr val="accent1"/>
              </a:solidFill>
              <a:round/>
            </a:ln>
            <a:effectLst/>
          </c:spPr>
          <c:marker>
            <c:symbol val="none"/>
          </c:marker>
          <c:cat>
            <c:numRef>
              <c:f>Data!$A$5:$A$44</c:f>
              <c:numCache>
                <c:formatCode>General</c:formatCode>
                <c:ptCount val="40"/>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Data!$J$5:$J$44</c:f>
              <c:numCache>
                <c:formatCode>General</c:formatCode>
                <c:ptCount val="40"/>
                <c:pt idx="2" formatCode="0%">
                  <c:v>0.33151992138936592</c:v>
                </c:pt>
                <c:pt idx="3" formatCode="0%">
                  <c:v>0.38605924388790541</c:v>
                </c:pt>
                <c:pt idx="4" formatCode="0%">
                  <c:v>0.38541983054940981</c:v>
                </c:pt>
                <c:pt idx="5" formatCode="0%">
                  <c:v>0.35575465194801198</c:v>
                </c:pt>
                <c:pt idx="6" formatCode="0%">
                  <c:v>0.3836590478252585</c:v>
                </c:pt>
                <c:pt idx="7" formatCode="0%">
                  <c:v>0.41385300036217149</c:v>
                </c:pt>
                <c:pt idx="8" formatCode="0%">
                  <c:v>0.41669614140867112</c:v>
                </c:pt>
                <c:pt idx="9" formatCode="0%">
                  <c:v>0.42605715323425719</c:v>
                </c:pt>
                <c:pt idx="10" formatCode="0%">
                  <c:v>0.32923762656552602</c:v>
                </c:pt>
                <c:pt idx="11" formatCode="0%">
                  <c:v>0.3142450743995937</c:v>
                </c:pt>
                <c:pt idx="12" formatCode="0%">
                  <c:v>0.3162430672655222</c:v>
                </c:pt>
                <c:pt idx="13" formatCode="0%">
                  <c:v>0.36449551846538653</c:v>
                </c:pt>
                <c:pt idx="14" formatCode="0%">
                  <c:v>0.34915745672146592</c:v>
                </c:pt>
                <c:pt idx="15" formatCode="0%">
                  <c:v>0.34564811479090313</c:v>
                </c:pt>
                <c:pt idx="16" formatCode="0%">
                  <c:v>0.31357642481256659</c:v>
                </c:pt>
                <c:pt idx="17" formatCode="0%">
                  <c:v>0.32850080854226132</c:v>
                </c:pt>
                <c:pt idx="18" formatCode="0%">
                  <c:v>0.36158761900914138</c:v>
                </c:pt>
                <c:pt idx="19" formatCode="0%">
                  <c:v>0.4712546500876641</c:v>
                </c:pt>
                <c:pt idx="20" formatCode="0%">
                  <c:v>0.44046899812405782</c:v>
                </c:pt>
                <c:pt idx="21" formatCode="0%">
                  <c:v>0.38699745417056652</c:v>
                </c:pt>
                <c:pt idx="22" formatCode="0%">
                  <c:v>0.45974898022072541</c:v>
                </c:pt>
                <c:pt idx="23" formatCode="0%">
                  <c:v>0.43771220186342019</c:v>
                </c:pt>
                <c:pt idx="24" formatCode="0%">
                  <c:v>0.45699060434101152</c:v>
                </c:pt>
                <c:pt idx="25" formatCode="0%">
                  <c:v>0.53028028402216298</c:v>
                </c:pt>
                <c:pt idx="26" formatCode="0%">
                  <c:v>0.61029008359699177</c:v>
                </c:pt>
                <c:pt idx="27" formatCode="0%">
                  <c:v>0.49937393323976909</c:v>
                </c:pt>
                <c:pt idx="28" formatCode="0%">
                  <c:v>0.5157405047462944</c:v>
                </c:pt>
                <c:pt idx="29" formatCode="0%">
                  <c:v>0.5235620411713755</c:v>
                </c:pt>
                <c:pt idx="30" formatCode="0%">
                  <c:v>0.53452485248976511</c:v>
                </c:pt>
                <c:pt idx="31" formatCode="0%">
                  <c:v>0.47341465569500402</c:v>
                </c:pt>
                <c:pt idx="32" formatCode="0%">
                  <c:v>0.45996369934274672</c:v>
                </c:pt>
                <c:pt idx="33" formatCode="0%">
                  <c:v>0.45882555890354942</c:v>
                </c:pt>
                <c:pt idx="34" formatCode="0%">
                  <c:v>0.46178585453052362</c:v>
                </c:pt>
                <c:pt idx="35" formatCode="0%">
                  <c:v>0.51232470274381492</c:v>
                </c:pt>
                <c:pt idx="36" formatCode="0%">
                  <c:v>0.50916618820269044</c:v>
                </c:pt>
                <c:pt idx="37" formatCode="0%">
                  <c:v>0.50374014002257406</c:v>
                </c:pt>
                <c:pt idx="38" formatCode="0%">
                  <c:v>0.46316743354814938</c:v>
                </c:pt>
              </c:numCache>
            </c:numRef>
          </c:val>
          <c:smooth val="0"/>
          <c:extLst>
            <c:ext xmlns:c16="http://schemas.microsoft.com/office/drawing/2014/chart" uri="{C3380CC4-5D6E-409C-BE32-E72D297353CC}">
              <c16:uniqueId val="{00000000-BCB8-C343-AC4D-A32758E81D3F}"/>
            </c:ext>
          </c:extLst>
        </c:ser>
        <c:ser>
          <c:idx val="3"/>
          <c:order val="3"/>
          <c:tx>
            <c:v>Multinational corporations (Country-by-country data)</c:v>
          </c:tx>
          <c:spPr>
            <a:ln w="28575" cap="rnd">
              <a:solidFill>
                <a:schemeClr val="accent4"/>
              </a:solidFill>
              <a:round/>
            </a:ln>
            <a:effectLst/>
          </c:spPr>
          <c:marker>
            <c:symbol val="none"/>
          </c:marker>
          <c:cat>
            <c:numRef>
              <c:f>Data!$A$5:$A$44</c:f>
              <c:numCache>
                <c:formatCode>General</c:formatCode>
                <c:ptCount val="40"/>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Data!$AT$5:$AT$44</c:f>
              <c:numCache>
                <c:formatCode>0%</c:formatCode>
                <c:ptCount val="40"/>
                <c:pt idx="35">
                  <c:v>0.43791329904481996</c:v>
                </c:pt>
                <c:pt idx="36">
                  <c:v>0.43461030383091148</c:v>
                </c:pt>
                <c:pt idx="37">
                  <c:v>0.39788499669530736</c:v>
                </c:pt>
              </c:numCache>
            </c:numRef>
          </c:val>
          <c:smooth val="0"/>
          <c:extLst>
            <c:ext xmlns:c16="http://schemas.microsoft.com/office/drawing/2014/chart" uri="{C3380CC4-5D6E-409C-BE32-E72D297353CC}">
              <c16:uniqueId val="{00000000-B08C-9049-A5CD-149DFD85B661}"/>
            </c:ext>
          </c:extLst>
        </c:ser>
        <c:dLbls>
          <c:showLegendKey val="0"/>
          <c:showVal val="0"/>
          <c:showCatName val="0"/>
          <c:showSerName val="0"/>
          <c:showPercent val="0"/>
          <c:showBubbleSize val="0"/>
        </c:dLbls>
        <c:smooth val="0"/>
        <c:axId val="577086672"/>
        <c:axId val="577088320"/>
      </c:lineChart>
      <c:catAx>
        <c:axId val="577086672"/>
        <c:scaling>
          <c:orientation val="minMax"/>
        </c:scaling>
        <c:delete val="0"/>
        <c:axPos val="b"/>
        <c:numFmt formatCode="General" sourceLinked="1"/>
        <c:majorTickMark val="out"/>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577088320"/>
        <c:crosses val="autoZero"/>
        <c:auto val="1"/>
        <c:lblAlgn val="ctr"/>
        <c:lblOffset val="100"/>
        <c:tickMarkSkip val="2"/>
        <c:noMultiLvlLbl val="0"/>
      </c:catAx>
      <c:valAx>
        <c:axId val="577088320"/>
        <c:scaling>
          <c:orientation val="minMax"/>
          <c:max val="0.62000000000000011"/>
          <c:min val="0"/>
        </c:scaling>
        <c:delete val="0"/>
        <c:axPos val="l"/>
        <c:title>
          <c:tx>
            <c:rich>
              <a:bodyPr rot="-54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r>
                  <a:rPr lang="en-US"/>
                  <a:t>%</a:t>
                </a:r>
                <a:r>
                  <a:rPr lang="en-US" baseline="0"/>
                  <a:t> of global profits of US corporations</a:t>
                </a:r>
                <a:endParaRPr lang="en-US"/>
              </a:p>
            </c:rich>
          </c:tx>
          <c:layout>
            <c:manualLayout>
              <c:xMode val="edge"/>
              <c:yMode val="edge"/>
              <c:x val="1.329129246838289E-3"/>
              <c:y val="8.448421220074763E-2"/>
            </c:manualLayout>
          </c:layout>
          <c:overlay val="0"/>
          <c:spPr>
            <a:noFill/>
            <a:ln>
              <a:noFill/>
            </a:ln>
            <a:effectLst/>
          </c:spPr>
          <c:txPr>
            <a:bodyPr rot="-54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title>
        <c:numFmt formatCode="0%" sourceLinked="0"/>
        <c:majorTickMark val="none"/>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577086672"/>
        <c:crosses val="autoZero"/>
        <c:crossBetween val="midCat"/>
      </c:valAx>
      <c:spPr>
        <a:noFill/>
        <a:ln>
          <a:noFill/>
        </a:ln>
        <a:effectLst/>
      </c:spPr>
    </c:plotArea>
    <c:legend>
      <c:legendPos val="r"/>
      <c:layout>
        <c:manualLayout>
          <c:xMode val="edge"/>
          <c:yMode val="edge"/>
          <c:x val="0.12212379382299028"/>
          <c:y val="0.67594400699912516"/>
          <c:w val="0.82565926147957713"/>
          <c:h val="0.19274286168774357"/>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Palatino" pitchFamily="2" charset="77"/>
              <a:ea typeface="Palatino" pitchFamily="2" charset="77"/>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200">
          <a:solidFill>
            <a:schemeClr val="tx1"/>
          </a:solidFill>
          <a:latin typeface="Palatino" pitchFamily="2" charset="77"/>
          <a:ea typeface="Palatino" pitchFamily="2" charset="77"/>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775200694055502"/>
          <c:y val="3.9577777678845703E-2"/>
          <c:w val="0.83279390285419341"/>
          <c:h val="0.80916983924716901"/>
        </c:manualLayout>
      </c:layout>
      <c:areaChart>
        <c:grouping val="stacked"/>
        <c:varyColors val="0"/>
        <c:ser>
          <c:idx val="0"/>
          <c:order val="0"/>
          <c:spPr>
            <a:solidFill>
              <a:srgbClr val="FFFF32"/>
            </a:solidFill>
            <a:ln>
              <a:solidFill>
                <a:schemeClr val="tx1"/>
              </a:solidFill>
            </a:ln>
            <a:effectLst/>
          </c:spP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Data!$BR$5:$BR$43</c:f>
              <c:numCache>
                <c:formatCode>0%</c:formatCode>
                <c:ptCount val="39"/>
                <c:pt idx="0">
                  <c:v>3.7190240465644507E-3</c:v>
                </c:pt>
                <c:pt idx="1">
                  <c:v>3.794919775668682E-3</c:v>
                </c:pt>
                <c:pt idx="2">
                  <c:v>3.7195115305721101E-3</c:v>
                </c:pt>
                <c:pt idx="3">
                  <c:v>3.6078988608935353E-3</c:v>
                </c:pt>
                <c:pt idx="4">
                  <c:v>3.026689884400244E-3</c:v>
                </c:pt>
                <c:pt idx="5">
                  <c:v>5.6430188062631479E-3</c:v>
                </c:pt>
                <c:pt idx="6">
                  <c:v>4.9404725060972843E-3</c:v>
                </c:pt>
                <c:pt idx="7">
                  <c:v>6.9642580592652829E-3</c:v>
                </c:pt>
                <c:pt idx="8">
                  <c:v>8.3793418534492698E-3</c:v>
                </c:pt>
                <c:pt idx="9">
                  <c:v>7.645906648929438E-3</c:v>
                </c:pt>
                <c:pt idx="10">
                  <c:v>8.779006542083757E-3</c:v>
                </c:pt>
                <c:pt idx="11">
                  <c:v>7.7905237860046396E-3</c:v>
                </c:pt>
                <c:pt idx="12">
                  <c:v>7.7269786194682976E-3</c:v>
                </c:pt>
                <c:pt idx="13">
                  <c:v>8.4265058562968051E-3</c:v>
                </c:pt>
                <c:pt idx="14">
                  <c:v>7.8513219328315721E-3</c:v>
                </c:pt>
                <c:pt idx="15">
                  <c:v>1.0166711722125608E-2</c:v>
                </c:pt>
                <c:pt idx="16">
                  <c:v>1.49111330922708E-2</c:v>
                </c:pt>
                <c:pt idx="17">
                  <c:v>1.6668166086378066E-2</c:v>
                </c:pt>
                <c:pt idx="18">
                  <c:v>1.9140395665775016E-2</c:v>
                </c:pt>
                <c:pt idx="19">
                  <c:v>2.181877084255833E-2</c:v>
                </c:pt>
                <c:pt idx="20">
                  <c:v>2.5295984043390143E-2</c:v>
                </c:pt>
                <c:pt idx="21">
                  <c:v>2.5183542857044897E-2</c:v>
                </c:pt>
                <c:pt idx="22">
                  <c:v>2.8121926679020852E-2</c:v>
                </c:pt>
                <c:pt idx="23">
                  <c:v>2.4257849609826611E-2</c:v>
                </c:pt>
                <c:pt idx="24">
                  <c:v>2.6838097004806202E-2</c:v>
                </c:pt>
                <c:pt idx="25">
                  <c:v>3.5671020819118361E-2</c:v>
                </c:pt>
                <c:pt idx="26">
                  <c:v>3.6240251033636865E-2</c:v>
                </c:pt>
                <c:pt idx="27">
                  <c:v>3.7628049399612125E-2</c:v>
                </c:pt>
                <c:pt idx="28">
                  <c:v>3.7521645656659559E-2</c:v>
                </c:pt>
                <c:pt idx="29">
                  <c:v>3.9017025476082351E-2</c:v>
                </c:pt>
                <c:pt idx="30">
                  <c:v>3.8995613804828397E-2</c:v>
                </c:pt>
                <c:pt idx="31">
                  <c:v>3.7023706019433618E-2</c:v>
                </c:pt>
                <c:pt idx="32">
                  <c:v>3.2168075683231018E-2</c:v>
                </c:pt>
                <c:pt idx="33">
                  <c:v>4.1242437558434444E-2</c:v>
                </c:pt>
                <c:pt idx="34">
                  <c:v>4.9103782001113989E-2</c:v>
                </c:pt>
                <c:pt idx="35">
                  <c:v>4.7702810039711406E-2</c:v>
                </c:pt>
                <c:pt idx="36">
                  <c:v>5.5359194919074116E-2</c:v>
                </c:pt>
                <c:pt idx="37">
                  <c:v>4.9163906916130026E-2</c:v>
                </c:pt>
                <c:pt idx="38">
                  <c:v>5.6211384350178535E-2</c:v>
                </c:pt>
              </c:numCache>
            </c:numRef>
          </c:val>
          <c:extLst>
            <c:ext xmlns:c16="http://schemas.microsoft.com/office/drawing/2014/chart" uri="{C3380CC4-5D6E-409C-BE32-E72D297353CC}">
              <c16:uniqueId val="{00000000-AEB0-774A-969C-B0AF159D6D30}"/>
            </c:ext>
          </c:extLst>
        </c:ser>
        <c:ser>
          <c:idx val="2"/>
          <c:order val="1"/>
          <c:spPr>
            <a:solidFill>
              <a:srgbClr val="0294A5"/>
            </a:solidFill>
            <a:ln>
              <a:solidFill>
                <a:schemeClr val="tx1"/>
              </a:solidFill>
            </a:ln>
            <a:effectLst/>
          </c:spP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Data!$BU$5:$BU$43</c:f>
              <c:numCache>
                <c:formatCode>0%</c:formatCode>
                <c:ptCount val="39"/>
                <c:pt idx="0">
                  <c:v>7.1917551099127137E-3</c:v>
                </c:pt>
                <c:pt idx="1">
                  <c:v>4.9314088393767894E-3</c:v>
                </c:pt>
                <c:pt idx="2">
                  <c:v>5.0445454754594636E-3</c:v>
                </c:pt>
                <c:pt idx="3">
                  <c:v>5.6162526332794145E-3</c:v>
                </c:pt>
                <c:pt idx="4">
                  <c:v>5.6365092870370283E-3</c:v>
                </c:pt>
                <c:pt idx="5">
                  <c:v>6.0716384439622106E-3</c:v>
                </c:pt>
                <c:pt idx="6">
                  <c:v>5.5153833904392196E-3</c:v>
                </c:pt>
                <c:pt idx="7">
                  <c:v>5.5552890902015326E-3</c:v>
                </c:pt>
                <c:pt idx="8">
                  <c:v>6.8560668274256558E-3</c:v>
                </c:pt>
                <c:pt idx="9">
                  <c:v>7.0878112730951735E-3</c:v>
                </c:pt>
                <c:pt idx="10">
                  <c:v>3.8055029801471298E-3</c:v>
                </c:pt>
                <c:pt idx="11">
                  <c:v>4.6715043441777149E-3</c:v>
                </c:pt>
                <c:pt idx="12">
                  <c:v>4.6829567784309935E-3</c:v>
                </c:pt>
                <c:pt idx="13">
                  <c:v>5.7829593113905469E-3</c:v>
                </c:pt>
                <c:pt idx="14">
                  <c:v>4.0924894433874322E-3</c:v>
                </c:pt>
                <c:pt idx="15">
                  <c:v>4.1953487249249089E-3</c:v>
                </c:pt>
                <c:pt idx="16">
                  <c:v>4.7410039370412473E-3</c:v>
                </c:pt>
                <c:pt idx="17">
                  <c:v>5.254915485761345E-3</c:v>
                </c:pt>
                <c:pt idx="18">
                  <c:v>5.7335314368156375E-3</c:v>
                </c:pt>
                <c:pt idx="19">
                  <c:v>5.958374419172764E-3</c:v>
                </c:pt>
                <c:pt idx="20">
                  <c:v>6.0185936175730995E-3</c:v>
                </c:pt>
                <c:pt idx="21">
                  <c:v>5.6590654551468538E-3</c:v>
                </c:pt>
                <c:pt idx="22">
                  <c:v>8.4141504060574017E-3</c:v>
                </c:pt>
                <c:pt idx="23">
                  <c:v>8.7475299770208223E-3</c:v>
                </c:pt>
                <c:pt idx="24">
                  <c:v>9.9489899687873577E-3</c:v>
                </c:pt>
                <c:pt idx="25">
                  <c:v>1.1695602028922681E-2</c:v>
                </c:pt>
                <c:pt idx="26">
                  <c:v>1.7369777537919961E-2</c:v>
                </c:pt>
                <c:pt idx="27">
                  <c:v>1.9277806144858665E-2</c:v>
                </c:pt>
                <c:pt idx="28">
                  <c:v>1.5783754661432281E-2</c:v>
                </c:pt>
                <c:pt idx="29">
                  <c:v>1.6660391550421597E-2</c:v>
                </c:pt>
                <c:pt idx="30">
                  <c:v>1.3313510128856614E-2</c:v>
                </c:pt>
                <c:pt idx="31">
                  <c:v>2.0832018045138744E-2</c:v>
                </c:pt>
                <c:pt idx="32">
                  <c:v>1.9949619469307091E-2</c:v>
                </c:pt>
                <c:pt idx="33">
                  <c:v>2.2225483591719573E-2</c:v>
                </c:pt>
                <c:pt idx="34">
                  <c:v>2.7146801119048377E-2</c:v>
                </c:pt>
                <c:pt idx="35">
                  <c:v>2.1654333380604837E-2</c:v>
                </c:pt>
                <c:pt idx="36">
                  <c:v>2.2394694197452669E-2</c:v>
                </c:pt>
                <c:pt idx="37">
                  <c:v>2.4053592566971465E-2</c:v>
                </c:pt>
                <c:pt idx="38">
                  <c:v>1.5797995594918898E-2</c:v>
                </c:pt>
              </c:numCache>
            </c:numRef>
          </c:val>
          <c:extLst>
            <c:ext xmlns:c16="http://schemas.microsoft.com/office/drawing/2014/chart" uri="{C3380CC4-5D6E-409C-BE32-E72D297353CC}">
              <c16:uniqueId val="{00000001-AEB0-774A-969C-B0AF159D6D30}"/>
            </c:ext>
          </c:extLst>
        </c:ser>
        <c:ser>
          <c:idx val="3"/>
          <c:order val="2"/>
          <c:spPr>
            <a:solidFill>
              <a:srgbClr val="8CD0C8"/>
            </a:solidFill>
            <a:ln>
              <a:solidFill>
                <a:schemeClr val="tx1"/>
              </a:solidFill>
            </a:ln>
            <a:effectLst/>
          </c:spP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Data!$BV$5:$BV$43</c:f>
              <c:numCache>
                <c:formatCode>0%</c:formatCode>
                <c:ptCount val="39"/>
                <c:pt idx="0">
                  <c:v>2.058516753720906E-2</c:v>
                </c:pt>
                <c:pt idx="1">
                  <c:v>1.4468380003360912E-2</c:v>
                </c:pt>
                <c:pt idx="2">
                  <c:v>1.234232126329082E-2</c:v>
                </c:pt>
                <c:pt idx="3">
                  <c:v>1.17029597043552E-2</c:v>
                </c:pt>
                <c:pt idx="4">
                  <c:v>9.2026786184252786E-3</c:v>
                </c:pt>
                <c:pt idx="5">
                  <c:v>9.49491846426068E-3</c:v>
                </c:pt>
                <c:pt idx="6">
                  <c:v>4.8142070314988218E-3</c:v>
                </c:pt>
                <c:pt idx="7">
                  <c:v>1.0731040413828699E-2</c:v>
                </c:pt>
                <c:pt idx="8">
                  <c:v>1.0482152578727942E-2</c:v>
                </c:pt>
                <c:pt idx="9">
                  <c:v>8.716435051666074E-3</c:v>
                </c:pt>
                <c:pt idx="10">
                  <c:v>8.1785376963481576E-3</c:v>
                </c:pt>
                <c:pt idx="11">
                  <c:v>7.5727544105617696E-3</c:v>
                </c:pt>
                <c:pt idx="12">
                  <c:v>6.0580631649271638E-3</c:v>
                </c:pt>
                <c:pt idx="13">
                  <c:v>7.0177949995410332E-3</c:v>
                </c:pt>
                <c:pt idx="14">
                  <c:v>6.7866655113278732E-3</c:v>
                </c:pt>
                <c:pt idx="15">
                  <c:v>1.0030287792824649E-2</c:v>
                </c:pt>
                <c:pt idx="16">
                  <c:v>1.0982360487084496E-2</c:v>
                </c:pt>
                <c:pt idx="17">
                  <c:v>1.1833170690081047E-2</c:v>
                </c:pt>
                <c:pt idx="18">
                  <c:v>1.4492539612020483E-2</c:v>
                </c:pt>
                <c:pt idx="19">
                  <c:v>1.6972443261986936E-2</c:v>
                </c:pt>
                <c:pt idx="20">
                  <c:v>1.3064513363552197E-2</c:v>
                </c:pt>
                <c:pt idx="21">
                  <c:v>1.2924213190907578E-2</c:v>
                </c:pt>
                <c:pt idx="22">
                  <c:v>1.5179492256150314E-2</c:v>
                </c:pt>
                <c:pt idx="23">
                  <c:v>1.4422498924147506E-2</c:v>
                </c:pt>
                <c:pt idx="24">
                  <c:v>1.7234375910443377E-2</c:v>
                </c:pt>
                <c:pt idx="25">
                  <c:v>2.0014819817591113E-2</c:v>
                </c:pt>
                <c:pt idx="26">
                  <c:v>2.9954494991676583E-2</c:v>
                </c:pt>
                <c:pt idx="27">
                  <c:v>2.1737679080234083E-2</c:v>
                </c:pt>
                <c:pt idx="28">
                  <c:v>2.0215588817917338E-2</c:v>
                </c:pt>
                <c:pt idx="29">
                  <c:v>1.5312065652533685E-2</c:v>
                </c:pt>
                <c:pt idx="30">
                  <c:v>1.514558281286211E-2</c:v>
                </c:pt>
                <c:pt idx="31">
                  <c:v>1.4482818520630956E-2</c:v>
                </c:pt>
                <c:pt idx="32">
                  <c:v>1.8983093450760068E-2</c:v>
                </c:pt>
                <c:pt idx="33">
                  <c:v>1.7379068515459423E-2</c:v>
                </c:pt>
                <c:pt idx="34">
                  <c:v>1.2212581044807894E-2</c:v>
                </c:pt>
                <c:pt idx="35">
                  <c:v>2.0456891183417609E-2</c:v>
                </c:pt>
                <c:pt idx="36">
                  <c:v>2.2034511476183141E-2</c:v>
                </c:pt>
                <c:pt idx="37">
                  <c:v>1.8533775257664729E-2</c:v>
                </c:pt>
                <c:pt idx="38">
                  <c:v>1.2912048581907781E-2</c:v>
                </c:pt>
              </c:numCache>
            </c:numRef>
          </c:val>
          <c:extLst>
            <c:ext xmlns:c16="http://schemas.microsoft.com/office/drawing/2014/chart" uri="{C3380CC4-5D6E-409C-BE32-E72D297353CC}">
              <c16:uniqueId val="{00000002-AEB0-774A-969C-B0AF159D6D30}"/>
            </c:ext>
          </c:extLst>
        </c:ser>
        <c:ser>
          <c:idx val="4"/>
          <c:order val="3"/>
          <c:spPr>
            <a:solidFill>
              <a:srgbClr val="DD9593"/>
            </a:solidFill>
            <a:ln>
              <a:solidFill>
                <a:schemeClr val="tx1"/>
              </a:solidFill>
            </a:ln>
            <a:effectLst/>
          </c:spP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Data!$BW$5:$BW$43</c:f>
              <c:numCache>
                <c:formatCode>0%</c:formatCode>
                <c:ptCount val="39"/>
                <c:pt idx="0">
                  <c:v>3.0835881498666841E-3</c:v>
                </c:pt>
                <c:pt idx="1">
                  <c:v>2.9008287290451704E-3</c:v>
                </c:pt>
                <c:pt idx="2">
                  <c:v>2.465101222341191E-3</c:v>
                </c:pt>
                <c:pt idx="3">
                  <c:v>1.6579463290616874E-3</c:v>
                </c:pt>
                <c:pt idx="4">
                  <c:v>2.5677820431312254E-3</c:v>
                </c:pt>
                <c:pt idx="5">
                  <c:v>2.7108063178980413E-3</c:v>
                </c:pt>
                <c:pt idx="6">
                  <c:v>3.0787283806348494E-3</c:v>
                </c:pt>
                <c:pt idx="7">
                  <c:v>3.2000752784455255E-3</c:v>
                </c:pt>
                <c:pt idx="8">
                  <c:v>5.6916785876379725E-3</c:v>
                </c:pt>
                <c:pt idx="9">
                  <c:v>4.3810487002989848E-3</c:v>
                </c:pt>
                <c:pt idx="10">
                  <c:v>3.8156374754338062E-3</c:v>
                </c:pt>
                <c:pt idx="11">
                  <c:v>5.9476797163966885E-3</c:v>
                </c:pt>
                <c:pt idx="12">
                  <c:v>5.702294361444143E-3</c:v>
                </c:pt>
                <c:pt idx="13">
                  <c:v>6.3770328041252659E-3</c:v>
                </c:pt>
                <c:pt idx="14">
                  <c:v>8.1642118564464426E-3</c:v>
                </c:pt>
                <c:pt idx="15">
                  <c:v>6.3543512757887133E-3</c:v>
                </c:pt>
                <c:pt idx="16">
                  <c:v>4.254216738153651E-3</c:v>
                </c:pt>
                <c:pt idx="17">
                  <c:v>7.2258784408879275E-3</c:v>
                </c:pt>
                <c:pt idx="18">
                  <c:v>1.2887028134527578E-2</c:v>
                </c:pt>
                <c:pt idx="19">
                  <c:v>8.8397426938821751E-3</c:v>
                </c:pt>
                <c:pt idx="20">
                  <c:v>7.1199990450342247E-3</c:v>
                </c:pt>
                <c:pt idx="21">
                  <c:v>7.1647675932223565E-3</c:v>
                </c:pt>
                <c:pt idx="22">
                  <c:v>8.1461596205922807E-3</c:v>
                </c:pt>
                <c:pt idx="23">
                  <c:v>6.1096239220873169E-3</c:v>
                </c:pt>
                <c:pt idx="24">
                  <c:v>8.1715996850454699E-3</c:v>
                </c:pt>
                <c:pt idx="25">
                  <c:v>9.679872745948833E-3</c:v>
                </c:pt>
                <c:pt idx="26">
                  <c:v>1.2440401626262634E-2</c:v>
                </c:pt>
                <c:pt idx="27">
                  <c:v>1.1568557551339653E-2</c:v>
                </c:pt>
                <c:pt idx="28">
                  <c:v>1.1509626629790845E-2</c:v>
                </c:pt>
                <c:pt idx="29">
                  <c:v>1.4848345834061185E-2</c:v>
                </c:pt>
                <c:pt idx="30">
                  <c:v>1.3406599833645382E-2</c:v>
                </c:pt>
                <c:pt idx="31">
                  <c:v>1.5852912100147463E-2</c:v>
                </c:pt>
                <c:pt idx="32">
                  <c:v>1.5098703749194054E-2</c:v>
                </c:pt>
                <c:pt idx="33">
                  <c:v>1.5966441343849776E-2</c:v>
                </c:pt>
                <c:pt idx="34">
                  <c:v>1.7186610995150217E-2</c:v>
                </c:pt>
                <c:pt idx="35">
                  <c:v>2.0459239109294449E-2</c:v>
                </c:pt>
                <c:pt idx="36">
                  <c:v>2.9180358798160094E-2</c:v>
                </c:pt>
                <c:pt idx="37">
                  <c:v>2.6409756540699561E-2</c:v>
                </c:pt>
                <c:pt idx="38">
                  <c:v>2.8332680328701485E-2</c:v>
                </c:pt>
              </c:numCache>
            </c:numRef>
          </c:val>
          <c:extLst>
            <c:ext xmlns:c16="http://schemas.microsoft.com/office/drawing/2014/chart" uri="{C3380CC4-5D6E-409C-BE32-E72D297353CC}">
              <c16:uniqueId val="{00000003-AEB0-774A-969C-B0AF159D6D30}"/>
            </c:ext>
          </c:extLst>
        </c:ser>
        <c:ser>
          <c:idx val="1"/>
          <c:order val="4"/>
          <c:spPr>
            <a:solidFill>
              <a:srgbClr val="80CE8F"/>
            </a:solidFill>
            <a:ln>
              <a:solidFill>
                <a:schemeClr val="tx1"/>
              </a:solidFill>
            </a:ln>
            <a:effectLst/>
          </c:spP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Data!$BT$5:$BT$43</c:f>
              <c:numCache>
                <c:formatCode>0%</c:formatCode>
                <c:ptCount val="39"/>
                <c:pt idx="0">
                  <c:v>4.9554148223097186E-3</c:v>
                </c:pt>
                <c:pt idx="1">
                  <c:v>6.191083780619693E-3</c:v>
                </c:pt>
                <c:pt idx="2">
                  <c:v>5.3135879008173008E-3</c:v>
                </c:pt>
                <c:pt idx="3">
                  <c:v>5.9699045899677195E-3</c:v>
                </c:pt>
                <c:pt idx="4">
                  <c:v>8.5721182258418956E-3</c:v>
                </c:pt>
                <c:pt idx="5">
                  <c:v>1.0380543146128941E-2</c:v>
                </c:pt>
                <c:pt idx="6">
                  <c:v>1.1801792125766921E-2</c:v>
                </c:pt>
                <c:pt idx="7">
                  <c:v>1.0915610149628564E-2</c:v>
                </c:pt>
                <c:pt idx="8">
                  <c:v>1.2563695938896337E-2</c:v>
                </c:pt>
                <c:pt idx="9">
                  <c:v>1.0898080611745478E-2</c:v>
                </c:pt>
                <c:pt idx="10">
                  <c:v>9.5948334126612373E-3</c:v>
                </c:pt>
                <c:pt idx="11">
                  <c:v>7.2636623938041461E-3</c:v>
                </c:pt>
                <c:pt idx="12">
                  <c:v>7.9508331475025579E-3</c:v>
                </c:pt>
                <c:pt idx="13">
                  <c:v>1.0955745577397737E-2</c:v>
                </c:pt>
                <c:pt idx="14">
                  <c:v>8.6930788954768905E-3</c:v>
                </c:pt>
                <c:pt idx="15">
                  <c:v>9.8412968448939632E-3</c:v>
                </c:pt>
                <c:pt idx="16">
                  <c:v>1.0211499172132181E-2</c:v>
                </c:pt>
                <c:pt idx="17">
                  <c:v>9.5339603410774191E-3</c:v>
                </c:pt>
                <c:pt idx="18">
                  <c:v>1.1582070859125037E-2</c:v>
                </c:pt>
                <c:pt idx="19">
                  <c:v>1.1801768686823474E-2</c:v>
                </c:pt>
                <c:pt idx="20">
                  <c:v>6.9774313374186972E-3</c:v>
                </c:pt>
                <c:pt idx="21">
                  <c:v>6.6412797531029168E-3</c:v>
                </c:pt>
                <c:pt idx="22">
                  <c:v>7.9655984530803189E-3</c:v>
                </c:pt>
                <c:pt idx="23">
                  <c:v>7.5689918053489739E-3</c:v>
                </c:pt>
                <c:pt idx="24">
                  <c:v>4.4395763688838052E-3</c:v>
                </c:pt>
                <c:pt idx="25">
                  <c:v>5.6393682744679714E-3</c:v>
                </c:pt>
                <c:pt idx="26">
                  <c:v>3.2098481108629724E-3</c:v>
                </c:pt>
                <c:pt idx="27">
                  <c:v>1.2525931920924823E-2</c:v>
                </c:pt>
                <c:pt idx="28">
                  <c:v>4.107660455417615E-3</c:v>
                </c:pt>
                <c:pt idx="29">
                  <c:v>1.0155277791688908E-2</c:v>
                </c:pt>
                <c:pt idx="30">
                  <c:v>1.0981220476950011E-2</c:v>
                </c:pt>
                <c:pt idx="31">
                  <c:v>3.5436556039135938E-3</c:v>
                </c:pt>
                <c:pt idx="32">
                  <c:v>1.1571667451242185E-2</c:v>
                </c:pt>
                <c:pt idx="33">
                  <c:v>1.8393851461823988E-2</c:v>
                </c:pt>
                <c:pt idx="34">
                  <c:v>2.7517730576261692E-2</c:v>
                </c:pt>
                <c:pt idx="35">
                  <c:v>3.4494553019560968E-2</c:v>
                </c:pt>
                <c:pt idx="36">
                  <c:v>1.7478867057162988E-2</c:v>
                </c:pt>
                <c:pt idx="37">
                  <c:v>1.8618431400439381E-2</c:v>
                </c:pt>
                <c:pt idx="38">
                  <c:v>1.8419281385587176E-2</c:v>
                </c:pt>
              </c:numCache>
            </c:numRef>
          </c:val>
          <c:extLst>
            <c:ext xmlns:c16="http://schemas.microsoft.com/office/drawing/2014/chart" uri="{C3380CC4-5D6E-409C-BE32-E72D297353CC}">
              <c16:uniqueId val="{00000004-AEB0-774A-969C-B0AF159D6D30}"/>
            </c:ext>
          </c:extLst>
        </c:ser>
        <c:dLbls>
          <c:showLegendKey val="0"/>
          <c:showVal val="0"/>
          <c:showCatName val="0"/>
          <c:showSerName val="0"/>
          <c:showPercent val="0"/>
          <c:showBubbleSize val="0"/>
        </c:dLbls>
        <c:axId val="-2045299224"/>
        <c:axId val="-2045296072"/>
      </c:areaChart>
      <c:catAx>
        <c:axId val="-2045299224"/>
        <c:scaling>
          <c:orientation val="minMax"/>
        </c:scaling>
        <c:delete val="0"/>
        <c:axPos val="b"/>
        <c:numFmt formatCode="General" sourceLinked="1"/>
        <c:majorTickMark val="out"/>
        <c:minorTickMark val="none"/>
        <c:tickLblPos val="nextTo"/>
        <c:txPr>
          <a:bodyPr rot="-5400000"/>
          <a:lstStyle/>
          <a:p>
            <a:pPr>
              <a:defRPr sz="2200">
                <a:latin typeface="Palatino"/>
                <a:cs typeface="Palatino"/>
              </a:defRPr>
            </a:pPr>
            <a:endParaRPr lang="en-US"/>
          </a:p>
        </c:txPr>
        <c:crossAx val="-2045296072"/>
        <c:crosses val="autoZero"/>
        <c:auto val="1"/>
        <c:lblAlgn val="ctr"/>
        <c:lblOffset val="100"/>
        <c:tickLblSkip val="2"/>
        <c:tickMarkSkip val="2"/>
        <c:noMultiLvlLbl val="0"/>
      </c:catAx>
      <c:valAx>
        <c:axId val="-2045296072"/>
        <c:scaling>
          <c:orientation val="minMax"/>
          <c:max val="0.15000000000000002"/>
          <c:min val="0"/>
        </c:scaling>
        <c:delete val="0"/>
        <c:axPos val="l"/>
        <c:title>
          <c:tx>
            <c:rich>
              <a:bodyPr/>
              <a:lstStyle/>
              <a:p>
                <a:pPr>
                  <a:defRPr/>
                </a:pPr>
                <a:r>
                  <a:rPr lang="en-US" sz="2100" b="0">
                    <a:latin typeface="Palatino" pitchFamily="2" charset="77"/>
                    <a:ea typeface="Palatino" pitchFamily="2" charset="77"/>
                  </a:rPr>
                  <a:t>% of global profits of US corporations</a:t>
                </a:r>
              </a:p>
            </c:rich>
          </c:tx>
          <c:layout>
            <c:manualLayout>
              <c:xMode val="edge"/>
              <c:yMode val="edge"/>
              <c:x val="1.3805335002580745E-3"/>
              <c:y val="7.0720498173022506E-2"/>
            </c:manualLayout>
          </c:layout>
          <c:overlay val="0"/>
        </c:title>
        <c:numFmt formatCode="0%" sourceLinked="1"/>
        <c:majorTickMark val="none"/>
        <c:minorTickMark val="none"/>
        <c:tickLblPos val="nextTo"/>
        <c:txPr>
          <a:bodyPr/>
          <a:lstStyle/>
          <a:p>
            <a:pPr>
              <a:defRPr sz="2200">
                <a:latin typeface="Palatino"/>
                <a:cs typeface="Palatino"/>
              </a:defRPr>
            </a:pPr>
            <a:endParaRPr lang="en-US"/>
          </a:p>
        </c:txPr>
        <c:crossAx val="-2045299224"/>
        <c:crosses val="autoZero"/>
        <c:crossBetween val="midCat"/>
        <c:majorUnit val="2.0000000000000004E-2"/>
      </c:valAx>
    </c:plotArea>
    <c:plotVisOnly val="1"/>
    <c:dispBlanksAs val="zero"/>
    <c:showDLblsOverMax val="0"/>
  </c:chart>
  <c:spPr>
    <a:ln>
      <a:noFill/>
    </a:ln>
  </c:sp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7"/>
            <c:marker>
              <c:symbol val="circle"/>
              <c:size val="5"/>
              <c:spPr>
                <a:solidFill>
                  <a:schemeClr val="accent1"/>
                </a:solidFill>
                <a:ln w="9525">
                  <a:solidFill>
                    <a:schemeClr val="accent1"/>
                  </a:solidFill>
                </a:ln>
                <a:effectLst/>
              </c:spPr>
            </c:marker>
            <c:bubble3D val="0"/>
            <c:spPr>
              <a:ln w="28575" cap="rnd">
                <a:solidFill>
                  <a:schemeClr val="accent1"/>
                </a:solidFill>
                <a:prstDash val="sysDash"/>
                <a:round/>
              </a:ln>
              <a:effectLst/>
            </c:spPr>
            <c:extLst>
              <c:ext xmlns:c16="http://schemas.microsoft.com/office/drawing/2014/chart" uri="{C3380CC4-5D6E-409C-BE32-E72D297353CC}">
                <c16:uniqueId val="{00000001-1DA9-A347-BFFE-7A0888679EDE}"/>
              </c:ext>
            </c:extLst>
          </c:dPt>
          <c:dPt>
            <c:idx val="12"/>
            <c:marker>
              <c:symbol val="circle"/>
              <c:size val="5"/>
              <c:spPr>
                <a:solidFill>
                  <a:schemeClr val="accent1"/>
                </a:solidFill>
                <a:ln w="9525">
                  <a:solidFill>
                    <a:schemeClr val="accent1"/>
                  </a:solidFill>
                </a:ln>
                <a:effectLst/>
              </c:spPr>
            </c:marker>
            <c:bubble3D val="0"/>
            <c:spPr>
              <a:ln w="28575" cap="rnd">
                <a:solidFill>
                  <a:schemeClr val="accent1"/>
                </a:solidFill>
                <a:prstDash val="sysDash"/>
                <a:round/>
              </a:ln>
              <a:effectLst/>
            </c:spPr>
            <c:extLst>
              <c:ext xmlns:c16="http://schemas.microsoft.com/office/drawing/2014/chart" uri="{C3380CC4-5D6E-409C-BE32-E72D297353CC}">
                <c16:uniqueId val="{00000004-1DA9-A347-BFFE-7A0888679EDE}"/>
              </c:ext>
            </c:extLst>
          </c:dPt>
          <c:dPt>
            <c:idx val="17"/>
            <c:marker>
              <c:symbol val="circle"/>
              <c:size val="5"/>
              <c:spPr>
                <a:solidFill>
                  <a:schemeClr val="accent1"/>
                </a:solidFill>
                <a:ln w="9525">
                  <a:solidFill>
                    <a:schemeClr val="accent1"/>
                  </a:solidFill>
                </a:ln>
                <a:effectLst/>
              </c:spPr>
            </c:marker>
            <c:bubble3D val="0"/>
            <c:spPr>
              <a:ln w="28575" cap="rnd">
                <a:solidFill>
                  <a:schemeClr val="accent1"/>
                </a:solidFill>
                <a:prstDash val="sysDash"/>
                <a:round/>
              </a:ln>
              <a:effectLst/>
            </c:spPr>
            <c:extLst>
              <c:ext xmlns:c16="http://schemas.microsoft.com/office/drawing/2014/chart" uri="{C3380CC4-5D6E-409C-BE32-E72D297353CC}">
                <c16:uniqueId val="{00000003-1DA9-A347-BFFE-7A0888679EDE}"/>
              </c:ext>
            </c:extLst>
          </c:dPt>
          <c:dPt>
            <c:idx val="22"/>
            <c:marker>
              <c:symbol val="circle"/>
              <c:size val="5"/>
              <c:spPr>
                <a:solidFill>
                  <a:schemeClr val="accent1"/>
                </a:solidFill>
                <a:ln w="9525">
                  <a:solidFill>
                    <a:schemeClr val="accent1"/>
                  </a:solidFill>
                </a:ln>
                <a:effectLst/>
              </c:spPr>
            </c:marker>
            <c:bubble3D val="0"/>
            <c:spPr>
              <a:ln w="28575" cap="rnd">
                <a:solidFill>
                  <a:schemeClr val="accent1"/>
                </a:solidFill>
                <a:prstDash val="sysDash"/>
                <a:round/>
              </a:ln>
              <a:effectLst/>
            </c:spPr>
            <c:extLst>
              <c:ext xmlns:c16="http://schemas.microsoft.com/office/drawing/2014/chart" uri="{C3380CC4-5D6E-409C-BE32-E72D297353CC}">
                <c16:uniqueId val="{00000005-1DA9-A347-BFFE-7A0888679EDE}"/>
              </c:ext>
            </c:extLst>
          </c:dPt>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Data!$X$5:$X$43</c:f>
              <c:numCache>
                <c:formatCode>0%</c:formatCode>
                <c:ptCount val="39"/>
                <c:pt idx="0">
                  <c:v>0.39225874596454757</c:v>
                </c:pt>
                <c:pt idx="7">
                  <c:v>0.3785540719957915</c:v>
                </c:pt>
                <c:pt idx="12">
                  <c:v>0.39336746869413403</c:v>
                </c:pt>
                <c:pt idx="17">
                  <c:v>0.4066949231349018</c:v>
                </c:pt>
                <c:pt idx="22">
                  <c:v>0.32619162541336411</c:v>
                </c:pt>
                <c:pt idx="23">
                  <c:v>0.35578772096533268</c:v>
                </c:pt>
                <c:pt idx="24">
                  <c:v>0.3440749323775531</c:v>
                </c:pt>
                <c:pt idx="25">
                  <c:v>0.39372756917681639</c:v>
                </c:pt>
                <c:pt idx="26">
                  <c:v>0.29562814722314573</c:v>
                </c:pt>
                <c:pt idx="27">
                  <c:v>0.28397606160836592</c:v>
                </c:pt>
                <c:pt idx="28">
                  <c:v>0.2877143266430941</c:v>
                </c:pt>
                <c:pt idx="29">
                  <c:v>0.25700846838144203</c:v>
                </c:pt>
                <c:pt idx="30">
                  <c:v>0.2658261522236896</c:v>
                </c:pt>
                <c:pt idx="31">
                  <c:v>0.27758720502379436</c:v>
                </c:pt>
                <c:pt idx="32">
                  <c:v>0.29489259523655009</c:v>
                </c:pt>
                <c:pt idx="33">
                  <c:v>0.28843710170482317</c:v>
                </c:pt>
                <c:pt idx="34">
                  <c:v>0.27961104328808611</c:v>
                </c:pt>
                <c:pt idx="35">
                  <c:v>0.23914245786354607</c:v>
                </c:pt>
                <c:pt idx="36">
                  <c:v>0.18201440045230058</c:v>
                </c:pt>
                <c:pt idx="37">
                  <c:v>0.18187889776854124</c:v>
                </c:pt>
                <c:pt idx="38">
                  <c:v>0.18971207134237145</c:v>
                </c:pt>
              </c:numCache>
            </c:numRef>
          </c:val>
          <c:smooth val="0"/>
          <c:extLst>
            <c:ext xmlns:c16="http://schemas.microsoft.com/office/drawing/2014/chart" uri="{C3380CC4-5D6E-409C-BE32-E72D297353CC}">
              <c16:uniqueId val="{00000000-771B-F44C-A38C-3032E16491D0}"/>
            </c:ext>
          </c:extLst>
        </c:ser>
        <c:ser>
          <c:idx val="1"/>
          <c:order val="1"/>
          <c:spPr>
            <a:ln w="28575" cap="rnd">
              <a:solidFill>
                <a:schemeClr val="accent2"/>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Data!$AA$5:$AA$43</c:f>
              <c:numCache>
                <c:formatCode>0%</c:formatCode>
                <c:ptCount val="39"/>
                <c:pt idx="0">
                  <c:v>0.50041467781802029</c:v>
                </c:pt>
                <c:pt idx="1">
                  <c:v>0.47489911050249439</c:v>
                </c:pt>
                <c:pt idx="2">
                  <c:v>0.47687751100669606</c:v>
                </c:pt>
                <c:pt idx="3">
                  <c:v>0.45405905975375443</c:v>
                </c:pt>
                <c:pt idx="4">
                  <c:v>0.38677703751348841</c:v>
                </c:pt>
                <c:pt idx="5">
                  <c:v>0.35572641634372926</c:v>
                </c:pt>
                <c:pt idx="6">
                  <c:v>0.35897413493502162</c:v>
                </c:pt>
                <c:pt idx="7">
                  <c:v>0.35216527516073065</c:v>
                </c:pt>
                <c:pt idx="8">
                  <c:v>0.33853189170102049</c:v>
                </c:pt>
                <c:pt idx="9">
                  <c:v>0.33353072468514994</c:v>
                </c:pt>
                <c:pt idx="10">
                  <c:v>0.34595034066973107</c:v>
                </c:pt>
                <c:pt idx="11">
                  <c:v>0.29585249094774835</c:v>
                </c:pt>
                <c:pt idx="12">
                  <c:v>0.31305773203711845</c:v>
                </c:pt>
                <c:pt idx="13">
                  <c:v>0.31345464345103741</c:v>
                </c:pt>
                <c:pt idx="14">
                  <c:v>0.32107678148873148</c:v>
                </c:pt>
                <c:pt idx="15">
                  <c:v>0.30346566207738374</c:v>
                </c:pt>
                <c:pt idx="16">
                  <c:v>0.28878308248886425</c:v>
                </c:pt>
                <c:pt idx="17">
                  <c:v>0.2803155851998923</c:v>
                </c:pt>
                <c:pt idx="18">
                  <c:v>0.31150419835671367</c:v>
                </c:pt>
                <c:pt idx="19">
                  <c:v>0.33757377354804063</c:v>
                </c:pt>
                <c:pt idx="20">
                  <c:v>0.28777257899735881</c:v>
                </c:pt>
                <c:pt idx="21">
                  <c:v>0.25670009006515443</c:v>
                </c:pt>
                <c:pt idx="22">
                  <c:v>0.26576539999545157</c:v>
                </c:pt>
                <c:pt idx="23">
                  <c:v>0.29552448617455501</c:v>
                </c:pt>
                <c:pt idx="24">
                  <c:v>0.30363744944310916</c:v>
                </c:pt>
                <c:pt idx="25">
                  <c:v>0.28870981061545897</c:v>
                </c:pt>
                <c:pt idx="26">
                  <c:v>0.30316461919670684</c:v>
                </c:pt>
                <c:pt idx="27">
                  <c:v>0.25795221770107979</c:v>
                </c:pt>
                <c:pt idx="28">
                  <c:v>0.27032233825261642</c:v>
                </c:pt>
                <c:pt idx="29">
                  <c:v>0.2801898304046459</c:v>
                </c:pt>
                <c:pt idx="30">
                  <c:v>0.26833505904957439</c:v>
                </c:pt>
                <c:pt idx="31">
                  <c:v>0.25994454876770529</c:v>
                </c:pt>
                <c:pt idx="32">
                  <c:v>0.23266286663215541</c:v>
                </c:pt>
                <c:pt idx="33">
                  <c:v>0.18672211115813178</c:v>
                </c:pt>
                <c:pt idx="34">
                  <c:v>0.19075885111579879</c:v>
                </c:pt>
                <c:pt idx="35">
                  <c:v>0.18643162022875007</c:v>
                </c:pt>
                <c:pt idx="36">
                  <c:v>0.20156120457112459</c:v>
                </c:pt>
                <c:pt idx="37">
                  <c:v>0.20894400434537894</c:v>
                </c:pt>
                <c:pt idx="38">
                  <c:v>0.19642660961737876</c:v>
                </c:pt>
              </c:numCache>
            </c:numRef>
          </c:val>
          <c:smooth val="0"/>
          <c:extLst>
            <c:ext xmlns:c16="http://schemas.microsoft.com/office/drawing/2014/chart" uri="{C3380CC4-5D6E-409C-BE32-E72D297353CC}">
              <c16:uniqueId val="{00000001-771B-F44C-A38C-3032E16491D0}"/>
            </c:ext>
          </c:extLst>
        </c:ser>
        <c:ser>
          <c:idx val="2"/>
          <c:order val="2"/>
          <c:spPr>
            <a:ln w="28575" cap="rnd">
              <a:solidFill>
                <a:schemeClr val="tx1"/>
              </a:solidFill>
              <a:round/>
            </a:ln>
            <a:effectLst/>
          </c:spPr>
          <c:marker>
            <c:symbol val="circle"/>
            <c:size val="5"/>
            <c:spPr>
              <a:solidFill>
                <a:schemeClr val="accent3"/>
              </a:solidFill>
              <a:ln w="9525">
                <a:solidFill>
                  <a:schemeClr val="accent3"/>
                </a:solidFill>
              </a:ln>
              <a:effectLst/>
            </c:spPr>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Data!$Z$5:$Z$43</c:f>
              <c:numCache>
                <c:formatCode>0%</c:formatCode>
                <c:ptCount val="39"/>
                <c:pt idx="0">
                  <c:v>0.44572210654376138</c:v>
                </c:pt>
                <c:pt idx="7">
                  <c:v>0.38217882333754638</c:v>
                </c:pt>
                <c:pt idx="12">
                  <c:v>0.38064203266070112</c:v>
                </c:pt>
                <c:pt idx="17">
                  <c:v>0.38369288441210764</c:v>
                </c:pt>
                <c:pt idx="22">
                  <c:v>0.31259101977669818</c:v>
                </c:pt>
                <c:pt idx="23">
                  <c:v>0.33868299854533124</c:v>
                </c:pt>
                <c:pt idx="24">
                  <c:v>0.3328517688567717</c:v>
                </c:pt>
                <c:pt idx="25">
                  <c:v>0.35575986835237372</c:v>
                </c:pt>
                <c:pt idx="26">
                  <c:v>0.30396838028542633</c:v>
                </c:pt>
                <c:pt idx="27">
                  <c:v>0.27965586986867219</c:v>
                </c:pt>
                <c:pt idx="28">
                  <c:v>0.28565605073676442</c:v>
                </c:pt>
                <c:pt idx="29">
                  <c:v>0.27098236006492005</c:v>
                </c:pt>
                <c:pt idx="30">
                  <c:v>0.27176116136520467</c:v>
                </c:pt>
                <c:pt idx="31">
                  <c:v>0.27533908690187842</c:v>
                </c:pt>
                <c:pt idx="32">
                  <c:v>0.27686302583017036</c:v>
                </c:pt>
                <c:pt idx="33">
                  <c:v>0.25787574144146863</c:v>
                </c:pt>
                <c:pt idx="34">
                  <c:v>0.25613783710643506</c:v>
                </c:pt>
                <c:pt idx="35">
                  <c:v>0.22378881283354779</c:v>
                </c:pt>
                <c:pt idx="36">
                  <c:v>0.1916027136289187</c:v>
                </c:pt>
                <c:pt idx="37">
                  <c:v>0.19320588433121391</c:v>
                </c:pt>
                <c:pt idx="38">
                  <c:v>0.19823367282372834</c:v>
                </c:pt>
              </c:numCache>
            </c:numRef>
          </c:val>
          <c:smooth val="0"/>
          <c:extLst>
            <c:ext xmlns:c16="http://schemas.microsoft.com/office/drawing/2014/chart" uri="{C3380CC4-5D6E-409C-BE32-E72D297353CC}">
              <c16:uniqueId val="{00000002-771B-F44C-A38C-3032E16491D0}"/>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Data!$CN$5:$CN$43</c:f>
              <c:numCache>
                <c:formatCode>0%</c:formatCode>
                <c:ptCount val="39"/>
                <c:pt idx="0">
                  <c:v>0.33041956827451902</c:v>
                </c:pt>
                <c:pt idx="1">
                  <c:v>0.32511464563848563</c:v>
                </c:pt>
                <c:pt idx="2">
                  <c:v>0.32723580945759329</c:v>
                </c:pt>
                <c:pt idx="3">
                  <c:v>0.3116910606519826</c:v>
                </c:pt>
                <c:pt idx="4">
                  <c:v>0.34590922009757152</c:v>
                </c:pt>
                <c:pt idx="5">
                  <c:v>0.36987156271228122</c:v>
                </c:pt>
                <c:pt idx="6">
                  <c:v>0.37255292119376787</c:v>
                </c:pt>
                <c:pt idx="7">
                  <c:v>0.37606032444373738</c:v>
                </c:pt>
                <c:pt idx="8">
                  <c:v>0.36529733383541396</c:v>
                </c:pt>
                <c:pt idx="9">
                  <c:v>0.31770932654294065</c:v>
                </c:pt>
                <c:pt idx="10">
                  <c:v>0.33823037125488725</c:v>
                </c:pt>
                <c:pt idx="11">
                  <c:v>0.34731469907779949</c:v>
                </c:pt>
                <c:pt idx="12">
                  <c:v>0.33379486741721315</c:v>
                </c:pt>
                <c:pt idx="13">
                  <c:v>0.33690069494192054</c:v>
                </c:pt>
                <c:pt idx="14">
                  <c:v>0.3298178482559761</c:v>
                </c:pt>
                <c:pt idx="15">
                  <c:v>0.32048481673021334</c:v>
                </c:pt>
                <c:pt idx="16">
                  <c:v>0.33779896419569905</c:v>
                </c:pt>
                <c:pt idx="17">
                  <c:v>0.36506523125172641</c:v>
                </c:pt>
                <c:pt idx="18">
                  <c:v>0.41666359228251598</c:v>
                </c:pt>
                <c:pt idx="19">
                  <c:v>0.34069263045046094</c:v>
                </c:pt>
                <c:pt idx="20">
                  <c:v>0.26103821955990003</c:v>
                </c:pt>
                <c:pt idx="21">
                  <c:v>0.28295301874812406</c:v>
                </c:pt>
                <c:pt idx="22">
                  <c:v>0.30423084199499201</c:v>
                </c:pt>
                <c:pt idx="23">
                  <c:v>0.36213364758214206</c:v>
                </c:pt>
                <c:pt idx="24">
                  <c:v>0.37178101821190018</c:v>
                </c:pt>
                <c:pt idx="25">
                  <c:v>0.38350012134561096</c:v>
                </c:pt>
                <c:pt idx="26">
                  <c:v>0.36082399515921282</c:v>
                </c:pt>
                <c:pt idx="27">
                  <c:v>0.25769577596935445</c:v>
                </c:pt>
                <c:pt idx="28">
                  <c:v>0.27269955645704003</c:v>
                </c:pt>
                <c:pt idx="29">
                  <c:v>0.27871995878070455</c:v>
                </c:pt>
                <c:pt idx="30">
                  <c:v>0.28156809708611341</c:v>
                </c:pt>
                <c:pt idx="31">
                  <c:v>0.29430365863540359</c:v>
                </c:pt>
                <c:pt idx="32">
                  <c:v>0.30198185014157969</c:v>
                </c:pt>
                <c:pt idx="33">
                  <c:v>0.29470051671012215</c:v>
                </c:pt>
                <c:pt idx="34">
                  <c:v>0.29023603681328614</c:v>
                </c:pt>
                <c:pt idx="35">
                  <c:v>0.24786135841877388</c:v>
                </c:pt>
                <c:pt idx="36">
                  <c:v>0.22154027887956293</c:v>
                </c:pt>
                <c:pt idx="37">
                  <c:v>0.2256422147533525</c:v>
                </c:pt>
                <c:pt idx="38">
                  <c:v>0.21748892323161639</c:v>
                </c:pt>
              </c:numCache>
            </c:numRef>
          </c:val>
          <c:smooth val="0"/>
          <c:extLst>
            <c:ext xmlns:c16="http://schemas.microsoft.com/office/drawing/2014/chart" uri="{C3380CC4-5D6E-409C-BE32-E72D297353CC}">
              <c16:uniqueId val="{00000006-1DA9-A347-BFFE-7A0888679EDE}"/>
            </c:ext>
          </c:extLst>
        </c:ser>
        <c:dLbls>
          <c:showLegendKey val="0"/>
          <c:showVal val="0"/>
          <c:showCatName val="0"/>
          <c:showSerName val="0"/>
          <c:showPercent val="0"/>
          <c:showBubbleSize val="0"/>
        </c:dLbls>
        <c:marker val="1"/>
        <c:smooth val="0"/>
        <c:axId val="310662112"/>
        <c:axId val="310663760"/>
      </c:lineChart>
      <c:catAx>
        <c:axId val="31066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310663760"/>
        <c:crosses val="autoZero"/>
        <c:auto val="1"/>
        <c:lblAlgn val="ctr"/>
        <c:lblOffset val="100"/>
        <c:noMultiLvlLbl val="0"/>
      </c:catAx>
      <c:valAx>
        <c:axId val="310663760"/>
        <c:scaling>
          <c:orientation val="minMax"/>
          <c:max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310662112"/>
        <c:crosses val="autoZero"/>
        <c:crossBetween val="between"/>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200">
          <a:latin typeface="Palatino" pitchFamily="2" charset="77"/>
          <a:ea typeface="Palatino" pitchFamily="2" charset="77"/>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aggregates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BEA survey total profit/NIPA total profit</c:v>
          </c:tx>
          <c:spPr>
            <a:ln w="28575" cap="rnd">
              <a:solidFill>
                <a:schemeClr val="accent1"/>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Data!$CQ$5:$CQ$43</c:f>
              <c:numCache>
                <c:formatCode>0%</c:formatCode>
                <c:ptCount val="39"/>
                <c:pt idx="0">
                  <c:v>0.67509351183127708</c:v>
                </c:pt>
                <c:pt idx="7">
                  <c:v>0.59348692153014504</c:v>
                </c:pt>
                <c:pt idx="12">
                  <c:v>0.5345746450124168</c:v>
                </c:pt>
                <c:pt idx="13">
                  <c:v>0.55464975175332476</c:v>
                </c:pt>
                <c:pt idx="14">
                  <c:v>0.59699407911673885</c:v>
                </c:pt>
                <c:pt idx="15">
                  <c:v>0.57783733957321015</c:v>
                </c:pt>
                <c:pt idx="16">
                  <c:v>0.6308018583510977</c:v>
                </c:pt>
                <c:pt idx="17">
                  <c:v>0.73053422675233604</c:v>
                </c:pt>
                <c:pt idx="18">
                  <c:v>0.86252328805236311</c:v>
                </c:pt>
                <c:pt idx="19">
                  <c:v>0.60077584809024553</c:v>
                </c:pt>
                <c:pt idx="20">
                  <c:v>0.55282061310380415</c:v>
                </c:pt>
                <c:pt idx="21">
                  <c:v>0.63748382606730736</c:v>
                </c:pt>
                <c:pt idx="22">
                  <c:v>0.63639321697471263</c:v>
                </c:pt>
                <c:pt idx="23">
                  <c:v>0.66217952003226954</c:v>
                </c:pt>
                <c:pt idx="24">
                  <c:v>0.68715561610595088</c:v>
                </c:pt>
                <c:pt idx="25">
                  <c:v>0.75974344378981484</c:v>
                </c:pt>
                <c:pt idx="26">
                  <c:v>0.80051290197228708</c:v>
                </c:pt>
                <c:pt idx="27">
                  <c:v>0.69871280442875705</c:v>
                </c:pt>
                <c:pt idx="28">
                  <c:v>0.7430474335279792</c:v>
                </c:pt>
                <c:pt idx="29">
                  <c:v>0.86364591498413157</c:v>
                </c:pt>
                <c:pt idx="30">
                  <c:v>0.79139180127910802</c:v>
                </c:pt>
                <c:pt idx="31">
                  <c:v>0.87316265495497569</c:v>
                </c:pt>
                <c:pt idx="32">
                  <c:v>0.9429447990290224</c:v>
                </c:pt>
                <c:pt idx="33">
                  <c:v>0.92373359801426047</c:v>
                </c:pt>
                <c:pt idx="34">
                  <c:v>0.90495041017376421</c:v>
                </c:pt>
                <c:pt idx="35">
                  <c:v>0.88773355414094302</c:v>
                </c:pt>
                <c:pt idx="36">
                  <c:v>0.94522714782077288</c:v>
                </c:pt>
                <c:pt idx="37">
                  <c:v>0.85117204791943402</c:v>
                </c:pt>
              </c:numCache>
            </c:numRef>
          </c:val>
          <c:smooth val="0"/>
          <c:extLst>
            <c:ext xmlns:c16="http://schemas.microsoft.com/office/drawing/2014/chart" uri="{C3380CC4-5D6E-409C-BE32-E72D297353CC}">
              <c16:uniqueId val="{00000000-E399-404F-872D-78AAF66C85EA}"/>
            </c:ext>
          </c:extLst>
        </c:ser>
        <c:ser>
          <c:idx val="1"/>
          <c:order val="1"/>
          <c:tx>
            <c:v>BEA survey foreign profit / NIPA foreign profit</c:v>
          </c:tx>
          <c:spPr>
            <a:ln w="28575" cap="rnd">
              <a:solidFill>
                <a:schemeClr val="accent2"/>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Data!$CR$5:$CR$43</c:f>
              <c:numCache>
                <c:formatCode>0%</c:formatCode>
                <c:ptCount val="39"/>
                <c:pt idx="0">
                  <c:v>0.79696249512210426</c:v>
                </c:pt>
                <c:pt idx="1">
                  <c:v>0.82696534682839018</c:v>
                </c:pt>
                <c:pt idx="2">
                  <c:v>0.81450025635058909</c:v>
                </c:pt>
                <c:pt idx="3">
                  <c:v>0.80900309693748995</c:v>
                </c:pt>
                <c:pt idx="4">
                  <c:v>0.83502037535125195</c:v>
                </c:pt>
                <c:pt idx="5">
                  <c:v>0.91494518317767004</c:v>
                </c:pt>
                <c:pt idx="6">
                  <c:v>0.84869730358948925</c:v>
                </c:pt>
                <c:pt idx="7">
                  <c:v>0.87869616751715174</c:v>
                </c:pt>
                <c:pt idx="8">
                  <c:v>0.85477899600876484</c:v>
                </c:pt>
                <c:pt idx="9">
                  <c:v>0.83556662317270136</c:v>
                </c:pt>
                <c:pt idx="10">
                  <c:v>0.78900920196085189</c:v>
                </c:pt>
                <c:pt idx="11">
                  <c:v>0.78084070242915893</c:v>
                </c:pt>
                <c:pt idx="12">
                  <c:v>0.76560781489568153</c:v>
                </c:pt>
                <c:pt idx="13">
                  <c:v>0.84023260908737518</c:v>
                </c:pt>
                <c:pt idx="14">
                  <c:v>0.87074124454117152</c:v>
                </c:pt>
                <c:pt idx="15">
                  <c:v>0.87723940300542513</c:v>
                </c:pt>
                <c:pt idx="16">
                  <c:v>0.86133354176348509</c:v>
                </c:pt>
                <c:pt idx="17">
                  <c:v>0.79869538644438542</c:v>
                </c:pt>
                <c:pt idx="18">
                  <c:v>0.80459858355020086</c:v>
                </c:pt>
                <c:pt idx="19">
                  <c:v>0.7430260307042269</c:v>
                </c:pt>
                <c:pt idx="20">
                  <c:v>0.76663228203972245</c:v>
                </c:pt>
                <c:pt idx="21">
                  <c:v>0.85470246260515159</c:v>
                </c:pt>
                <c:pt idx="22">
                  <c:v>0.78455550032087162</c:v>
                </c:pt>
                <c:pt idx="23">
                  <c:v>0.81565590451139158</c:v>
                </c:pt>
                <c:pt idx="24">
                  <c:v>0.82587210805754119</c:v>
                </c:pt>
                <c:pt idx="25">
                  <c:v>0.83892485144063411</c:v>
                </c:pt>
                <c:pt idx="26">
                  <c:v>0.78414199818445207</c:v>
                </c:pt>
                <c:pt idx="27">
                  <c:v>0.82882545242066308</c:v>
                </c:pt>
                <c:pt idx="28">
                  <c:v>0.77666170397070844</c:v>
                </c:pt>
                <c:pt idx="29">
                  <c:v>0.87437960022894323</c:v>
                </c:pt>
                <c:pt idx="30">
                  <c:v>0.88156684834234567</c:v>
                </c:pt>
                <c:pt idx="31">
                  <c:v>0.82161016247412899</c:v>
                </c:pt>
                <c:pt idx="32">
                  <c:v>0.91741491504340855</c:v>
                </c:pt>
                <c:pt idx="33">
                  <c:v>0.89536031634698476</c:v>
                </c:pt>
                <c:pt idx="34">
                  <c:v>0.79471053925950275</c:v>
                </c:pt>
                <c:pt idx="35">
                  <c:v>0.81812225923489557</c:v>
                </c:pt>
                <c:pt idx="36">
                  <c:v>0.79271576116123432</c:v>
                </c:pt>
                <c:pt idx="37">
                  <c:v>0.71461453484007498</c:v>
                </c:pt>
                <c:pt idx="38">
                  <c:v>0.7193402710733906</c:v>
                </c:pt>
              </c:numCache>
            </c:numRef>
          </c:val>
          <c:smooth val="0"/>
          <c:extLst>
            <c:ext xmlns:c16="http://schemas.microsoft.com/office/drawing/2014/chart" uri="{C3380CC4-5D6E-409C-BE32-E72D297353CC}">
              <c16:uniqueId val="{00000001-E399-404F-872D-78AAF66C85EA}"/>
            </c:ext>
          </c:extLst>
        </c:ser>
        <c:dLbls>
          <c:showLegendKey val="0"/>
          <c:showVal val="0"/>
          <c:showCatName val="0"/>
          <c:showSerName val="0"/>
          <c:showPercent val="0"/>
          <c:showBubbleSize val="0"/>
        </c:dLbls>
        <c:smooth val="0"/>
        <c:axId val="526556176"/>
        <c:axId val="526557824"/>
      </c:lineChart>
      <c:catAx>
        <c:axId val="5265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57824"/>
        <c:crosses val="autoZero"/>
        <c:auto val="1"/>
        <c:lblAlgn val="ctr"/>
        <c:lblOffset val="100"/>
        <c:noMultiLvlLbl val="0"/>
      </c:catAx>
      <c:valAx>
        <c:axId val="526557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56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Effective US +</a:t>
            </a:r>
            <a:r>
              <a:rPr lang="en-US" baseline="0"/>
              <a:t> foreign effective tax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Data!$CN$3</c:f>
              <c:strCache>
                <c:ptCount val="1"/>
                <c:pt idx="0">
                  <c:v>Effective US+foreign rate on global profits</c:v>
                </c:pt>
              </c:strCache>
            </c:strRef>
          </c:tx>
          <c:spPr>
            <a:ln w="28575" cap="rnd">
              <a:solidFill>
                <a:schemeClr val="accent1"/>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Data!$CN$5:$CN$43</c:f>
              <c:numCache>
                <c:formatCode>0%</c:formatCode>
                <c:ptCount val="39"/>
                <c:pt idx="0">
                  <c:v>0.33041956827451902</c:v>
                </c:pt>
                <c:pt idx="1">
                  <c:v>0.32511464563848563</c:v>
                </c:pt>
                <c:pt idx="2">
                  <c:v>0.32723580945759329</c:v>
                </c:pt>
                <c:pt idx="3">
                  <c:v>0.3116910606519826</c:v>
                </c:pt>
                <c:pt idx="4">
                  <c:v>0.34590922009757152</c:v>
                </c:pt>
                <c:pt idx="5">
                  <c:v>0.36987156271228122</c:v>
                </c:pt>
                <c:pt idx="6">
                  <c:v>0.37255292119376787</c:v>
                </c:pt>
                <c:pt idx="7">
                  <c:v>0.37606032444373738</c:v>
                </c:pt>
                <c:pt idx="8">
                  <c:v>0.36529733383541396</c:v>
                </c:pt>
                <c:pt idx="9">
                  <c:v>0.31770932654294065</c:v>
                </c:pt>
                <c:pt idx="10">
                  <c:v>0.33823037125488725</c:v>
                </c:pt>
                <c:pt idx="11">
                  <c:v>0.34731469907779949</c:v>
                </c:pt>
                <c:pt idx="12">
                  <c:v>0.33379486741721315</c:v>
                </c:pt>
                <c:pt idx="13">
                  <c:v>0.33690069494192054</c:v>
                </c:pt>
                <c:pt idx="14">
                  <c:v>0.3298178482559761</c:v>
                </c:pt>
                <c:pt idx="15">
                  <c:v>0.32048481673021334</c:v>
                </c:pt>
                <c:pt idx="16">
                  <c:v>0.33779896419569905</c:v>
                </c:pt>
                <c:pt idx="17">
                  <c:v>0.36506523125172641</c:v>
                </c:pt>
                <c:pt idx="18">
                  <c:v>0.41666359228251598</c:v>
                </c:pt>
                <c:pt idx="19">
                  <c:v>0.34069263045046094</c:v>
                </c:pt>
                <c:pt idx="20">
                  <c:v>0.26103821955990003</c:v>
                </c:pt>
                <c:pt idx="21">
                  <c:v>0.28295301874812406</c:v>
                </c:pt>
                <c:pt idx="22">
                  <c:v>0.30423084199499201</c:v>
                </c:pt>
                <c:pt idx="23">
                  <c:v>0.36213364758214206</c:v>
                </c:pt>
                <c:pt idx="24">
                  <c:v>0.37178101821190018</c:v>
                </c:pt>
                <c:pt idx="25">
                  <c:v>0.38350012134561096</c:v>
                </c:pt>
                <c:pt idx="26">
                  <c:v>0.36082399515921282</c:v>
                </c:pt>
                <c:pt idx="27">
                  <c:v>0.25769577596935445</c:v>
                </c:pt>
                <c:pt idx="28">
                  <c:v>0.27269955645704003</c:v>
                </c:pt>
                <c:pt idx="29">
                  <c:v>0.27871995878070455</c:v>
                </c:pt>
                <c:pt idx="30">
                  <c:v>0.28156809708611341</c:v>
                </c:pt>
                <c:pt idx="31">
                  <c:v>0.29430365863540359</c:v>
                </c:pt>
                <c:pt idx="32">
                  <c:v>0.30198185014157969</c:v>
                </c:pt>
                <c:pt idx="33">
                  <c:v>0.29470051671012215</c:v>
                </c:pt>
                <c:pt idx="34">
                  <c:v>0.29023603681328614</c:v>
                </c:pt>
                <c:pt idx="35">
                  <c:v>0.24786135841877388</c:v>
                </c:pt>
                <c:pt idx="36">
                  <c:v>0.22154027887956293</c:v>
                </c:pt>
                <c:pt idx="37">
                  <c:v>0.2256422147533525</c:v>
                </c:pt>
                <c:pt idx="38">
                  <c:v>0.21748892323161639</c:v>
                </c:pt>
              </c:numCache>
            </c:numRef>
          </c:val>
          <c:smooth val="0"/>
          <c:extLst>
            <c:ext xmlns:c16="http://schemas.microsoft.com/office/drawing/2014/chart" uri="{C3380CC4-5D6E-409C-BE32-E72D297353CC}">
              <c16:uniqueId val="{00000000-2BBD-E849-96AD-42941052B092}"/>
            </c:ext>
          </c:extLst>
        </c:ser>
        <c:ser>
          <c:idx val="1"/>
          <c:order val="1"/>
          <c:tx>
            <c:strRef>
              <c:f>Data!$CO$3</c:f>
              <c:strCache>
                <c:ptCount val="1"/>
                <c:pt idx="0">
                  <c:v>(wright-zucman)</c:v>
                </c:pt>
              </c:strCache>
            </c:strRef>
          </c:tx>
          <c:spPr>
            <a:ln w="28575" cap="rnd">
              <a:solidFill>
                <a:schemeClr val="accent2"/>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Data!$CO$5:$CO$43</c:f>
              <c:numCache>
                <c:formatCode>0%</c:formatCode>
                <c:ptCount val="39"/>
                <c:pt idx="0">
                  <c:v>0.29823491073008712</c:v>
                </c:pt>
                <c:pt idx="1">
                  <c:v>0.30131738102566513</c:v>
                </c:pt>
                <c:pt idx="2">
                  <c:v>0.30129274614967222</c:v>
                </c:pt>
                <c:pt idx="3">
                  <c:v>0.29848576049633102</c:v>
                </c:pt>
                <c:pt idx="4">
                  <c:v>0.3517538979737021</c:v>
                </c:pt>
                <c:pt idx="5">
                  <c:v>0.38003278091958204</c:v>
                </c:pt>
                <c:pt idx="6">
                  <c:v>0.39111072394820839</c:v>
                </c:pt>
                <c:pt idx="7">
                  <c:v>0.40047162290297844</c:v>
                </c:pt>
                <c:pt idx="8">
                  <c:v>0.40033204878842626</c:v>
                </c:pt>
                <c:pt idx="9">
                  <c:v>0.34828753904274956</c:v>
                </c:pt>
                <c:pt idx="10">
                  <c:v>0.37780777975680835</c:v>
                </c:pt>
                <c:pt idx="11">
                  <c:v>0.38705472191516516</c:v>
                </c:pt>
                <c:pt idx="12">
                  <c:v>0.36426849585152155</c:v>
                </c:pt>
                <c:pt idx="13">
                  <c:v>0.36090361769803869</c:v>
                </c:pt>
                <c:pt idx="14">
                  <c:v>0.36179958891956554</c:v>
                </c:pt>
                <c:pt idx="15">
                  <c:v>0.35102871463526641</c:v>
                </c:pt>
                <c:pt idx="16">
                  <c:v>0.38725440190099281</c:v>
                </c:pt>
                <c:pt idx="17">
                  <c:v>0.39528367765750538</c:v>
                </c:pt>
                <c:pt idx="18">
                  <c:v>0.45339093118835799</c:v>
                </c:pt>
                <c:pt idx="19">
                  <c:v>0.39225125206933814</c:v>
                </c:pt>
                <c:pt idx="20">
                  <c:v>0.28192501779051449</c:v>
                </c:pt>
                <c:pt idx="21">
                  <c:v>0.2984924508672061</c:v>
                </c:pt>
                <c:pt idx="22">
                  <c:v>0.3076279160749007</c:v>
                </c:pt>
                <c:pt idx="23">
                  <c:v>0.37616377694559128</c:v>
                </c:pt>
                <c:pt idx="24">
                  <c:v>0.37115442520691233</c:v>
                </c:pt>
                <c:pt idx="25">
                  <c:v>0.39025501866828161</c:v>
                </c:pt>
                <c:pt idx="26">
                  <c:v>0.34682470915223224</c:v>
                </c:pt>
                <c:pt idx="27">
                  <c:v>0.26033311968775652</c:v>
                </c:pt>
                <c:pt idx="28">
                  <c:v>0.26848984795363273</c:v>
                </c:pt>
                <c:pt idx="29">
                  <c:v>0.25935783150837627</c:v>
                </c:pt>
                <c:pt idx="30">
                  <c:v>0.28357809056115224</c:v>
                </c:pt>
                <c:pt idx="31">
                  <c:v>0.30248220522768438</c:v>
                </c:pt>
                <c:pt idx="32">
                  <c:v>0.32519110832066461</c:v>
                </c:pt>
                <c:pt idx="33">
                  <c:v>0.3498510168339331</c:v>
                </c:pt>
                <c:pt idx="34">
                  <c:v>0.33522519831391689</c:v>
                </c:pt>
                <c:pt idx="35">
                  <c:v>0.25715673044811493</c:v>
                </c:pt>
                <c:pt idx="36">
                  <c:v>0.21610621454907691</c:v>
                </c:pt>
                <c:pt idx="37">
                  <c:v>0.2248645726111568</c:v>
                </c:pt>
                <c:pt idx="38">
                  <c:v>0.22776133934816284</c:v>
                </c:pt>
              </c:numCache>
            </c:numRef>
          </c:val>
          <c:smooth val="0"/>
          <c:extLst>
            <c:ext xmlns:c16="http://schemas.microsoft.com/office/drawing/2014/chart" uri="{C3380CC4-5D6E-409C-BE32-E72D297353CC}">
              <c16:uniqueId val="{00000001-2BBD-E849-96AD-42941052B092}"/>
            </c:ext>
          </c:extLst>
        </c:ser>
        <c:ser>
          <c:idx val="2"/>
          <c:order val="2"/>
          <c:tx>
            <c:v>BEA survey</c:v>
          </c:tx>
          <c:spPr>
            <a:ln w="28575" cap="rnd">
              <a:solidFill>
                <a:schemeClr val="accent3"/>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Data!$AB$5:$AB$42</c:f>
              <c:numCache>
                <c:formatCode>0%</c:formatCode>
                <c:ptCount val="38"/>
                <c:pt idx="0">
                  <c:v>0.42894528754947375</c:v>
                </c:pt>
                <c:pt idx="7">
                  <c:v>0.36874088348949791</c:v>
                </c:pt>
                <c:pt idx="12">
                  <c:v>0.37077075583949087</c:v>
                </c:pt>
                <c:pt idx="17">
                  <c:v>0.37101129322459664</c:v>
                </c:pt>
                <c:pt idx="22">
                  <c:v>0.30460307146252402</c:v>
                </c:pt>
                <c:pt idx="23">
                  <c:v>0.33350886283425984</c:v>
                </c:pt>
                <c:pt idx="24">
                  <c:v>0.32956451353265942</c:v>
                </c:pt>
                <c:pt idx="25">
                  <c:v>0.35108276484641904</c:v>
                </c:pt>
                <c:pt idx="26">
                  <c:v>0.29928075334464199</c:v>
                </c:pt>
                <c:pt idx="27">
                  <c:v>0.27175216692925391</c:v>
                </c:pt>
                <c:pt idx="28">
                  <c:v>0.28066189283803417</c:v>
                </c:pt>
                <c:pt idx="29">
                  <c:v>0.2664787211064954</c:v>
                </c:pt>
                <c:pt idx="30">
                  <c:v>0.26683781514974758</c:v>
                </c:pt>
                <c:pt idx="31">
                  <c:v>0.27152718776305945</c:v>
                </c:pt>
                <c:pt idx="32">
                  <c:v>0.2739068932724571</c:v>
                </c:pt>
                <c:pt idx="33">
                  <c:v>0.25595364148489474</c:v>
                </c:pt>
                <c:pt idx="34" formatCode="0.0%">
                  <c:v>0.2524086909959089</c:v>
                </c:pt>
                <c:pt idx="35" formatCode="0.0%">
                  <c:v>0.21981679261876777</c:v>
                </c:pt>
                <c:pt idx="36" formatCode="0.0%">
                  <c:v>0.18841777908902199</c:v>
                </c:pt>
                <c:pt idx="37" formatCode="0.0%">
                  <c:v>0.19051701303423058</c:v>
                </c:pt>
              </c:numCache>
            </c:numRef>
          </c:val>
          <c:smooth val="0"/>
          <c:extLst>
            <c:ext xmlns:c16="http://schemas.microsoft.com/office/drawing/2014/chart" uri="{C3380CC4-5D6E-409C-BE32-E72D297353CC}">
              <c16:uniqueId val="{00000003-2BBD-E849-96AD-42941052B092}"/>
            </c:ext>
          </c:extLst>
        </c:ser>
        <c:dLbls>
          <c:showLegendKey val="0"/>
          <c:showVal val="0"/>
          <c:showCatName val="0"/>
          <c:showSerName val="0"/>
          <c:showPercent val="0"/>
          <c:showBubbleSize val="0"/>
        </c:dLbls>
        <c:smooth val="0"/>
        <c:axId val="240545231"/>
        <c:axId val="240633903"/>
      </c:lineChart>
      <c:catAx>
        <c:axId val="24054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33903"/>
        <c:crosses val="autoZero"/>
        <c:auto val="1"/>
        <c:lblAlgn val="ctr"/>
        <c:lblOffset val="100"/>
        <c:noMultiLvlLbl val="0"/>
      </c:catAx>
      <c:valAx>
        <c:axId val="240633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4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Haven profits (%</a:t>
            </a:r>
            <a:r>
              <a:rPr lang="en-US" baseline="0"/>
              <a:t> of</a:t>
            </a:r>
            <a:r>
              <a:rPr lang="en-US"/>
              <a:t> total</a:t>
            </a:r>
            <a:r>
              <a:rPr lang="en-US" baseline="0"/>
              <a:t> domestic + foreign)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73272916357154"/>
          <c:y val="0.23231481481481486"/>
          <c:w val="0.85885217649680579"/>
          <c:h val="0.54799212598425195"/>
        </c:manualLayout>
      </c:layout>
      <c:lineChart>
        <c:grouping val="standard"/>
        <c:varyColors val="0"/>
        <c:ser>
          <c:idx val="0"/>
          <c:order val="0"/>
          <c:tx>
            <c:strRef>
              <c:f>Data!$BQ$3</c:f>
              <c:strCache>
                <c:ptCount val="1"/>
                <c:pt idx="0">
                  <c:v>NIPA (S-corp corrected)</c:v>
                </c:pt>
              </c:strCache>
            </c:strRef>
          </c:tx>
          <c:spPr>
            <a:ln w="28575" cap="rnd">
              <a:solidFill>
                <a:schemeClr val="accent1"/>
              </a:solidFill>
              <a:round/>
            </a:ln>
            <a:effectLst/>
          </c:spPr>
          <c:marker>
            <c:symbol val="none"/>
          </c:marke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Data!$BQ$5:$BQ$43</c:f>
              <c:numCache>
                <c:formatCode>0%</c:formatCode>
                <c:ptCount val="39"/>
                <c:pt idx="0">
                  <c:v>3.9534949665862629E-2</c:v>
                </c:pt>
                <c:pt idx="1">
                  <c:v>3.228662112807125E-2</c:v>
                </c:pt>
                <c:pt idx="2">
                  <c:v>2.8885067392480882E-2</c:v>
                </c:pt>
                <c:pt idx="3">
                  <c:v>2.8554962117557554E-2</c:v>
                </c:pt>
                <c:pt idx="4">
                  <c:v>2.9005778058835672E-2</c:v>
                </c:pt>
                <c:pt idx="5">
                  <c:v>3.430092517851302E-2</c:v>
                </c:pt>
                <c:pt idx="6">
                  <c:v>3.0150583434437096E-2</c:v>
                </c:pt>
                <c:pt idx="7">
                  <c:v>3.7366272991369603E-2</c:v>
                </c:pt>
                <c:pt idx="8">
                  <c:v>4.3972935786137174E-2</c:v>
                </c:pt>
                <c:pt idx="9">
                  <c:v>3.8729282285735148E-2</c:v>
                </c:pt>
                <c:pt idx="10">
                  <c:v>3.4173518106674086E-2</c:v>
                </c:pt>
                <c:pt idx="11">
                  <c:v>3.324612465094496E-2</c:v>
                </c:pt>
                <c:pt idx="12">
                  <c:v>3.2121126071773157E-2</c:v>
                </c:pt>
                <c:pt idx="13">
                  <c:v>3.8560038548751389E-2</c:v>
                </c:pt>
                <c:pt idx="14">
                  <c:v>3.5587767639470212E-2</c:v>
                </c:pt>
                <c:pt idx="15">
                  <c:v>4.0587996360557842E-2</c:v>
                </c:pt>
                <c:pt idx="16">
                  <c:v>4.5100213426682377E-2</c:v>
                </c:pt>
                <c:pt idx="17">
                  <c:v>5.0516091044185807E-2</c:v>
                </c:pt>
                <c:pt idx="18">
                  <c:v>6.383556570826375E-2</c:v>
                </c:pt>
                <c:pt idx="19">
                  <c:v>6.5391099904423683E-2</c:v>
                </c:pt>
                <c:pt idx="20">
                  <c:v>5.8476521406968365E-2</c:v>
                </c:pt>
                <c:pt idx="21">
                  <c:v>5.7572868849424606E-2</c:v>
                </c:pt>
                <c:pt idx="22">
                  <c:v>6.7827327414901176E-2</c:v>
                </c:pt>
                <c:pt idx="23">
                  <c:v>6.1106494238431223E-2</c:v>
                </c:pt>
                <c:pt idx="24">
                  <c:v>6.6632638937966213E-2</c:v>
                </c:pt>
                <c:pt idx="25">
                  <c:v>8.2700683686048951E-2</c:v>
                </c:pt>
                <c:pt idx="26">
                  <c:v>9.9214773300359022E-2</c:v>
                </c:pt>
                <c:pt idx="27">
                  <c:v>0.10273802409696935</c:v>
                </c:pt>
                <c:pt idx="28">
                  <c:v>8.9138276221217644E-2</c:v>
                </c:pt>
                <c:pt idx="29">
                  <c:v>9.5993106304787731E-2</c:v>
                </c:pt>
                <c:pt idx="30">
                  <c:v>9.184252705714252E-2</c:v>
                </c:pt>
                <c:pt idx="31">
                  <c:v>9.1735110289264371E-2</c:v>
                </c:pt>
                <c:pt idx="32">
                  <c:v>9.7771159803734409E-2</c:v>
                </c:pt>
                <c:pt idx="33">
                  <c:v>0.11520728247128721</c:v>
                </c:pt>
                <c:pt idx="34">
                  <c:v>0.13316750573638217</c:v>
                </c:pt>
                <c:pt idx="35">
                  <c:v>0.14476782673258928</c:v>
                </c:pt>
                <c:pt idx="36">
                  <c:v>0.146447626448033</c:v>
                </c:pt>
                <c:pt idx="37">
                  <c:v>0.13677946268190516</c:v>
                </c:pt>
                <c:pt idx="38">
                  <c:v>0.13167339024129388</c:v>
                </c:pt>
              </c:numCache>
            </c:numRef>
          </c:val>
          <c:smooth val="0"/>
          <c:extLst>
            <c:ext xmlns:c16="http://schemas.microsoft.com/office/drawing/2014/chart" uri="{C3380CC4-5D6E-409C-BE32-E72D297353CC}">
              <c16:uniqueId val="{00000000-51D7-D044-98AC-B792871E5405}"/>
            </c:ext>
          </c:extLst>
        </c:ser>
        <c:ser>
          <c:idx val="1"/>
          <c:order val="1"/>
          <c:tx>
            <c:strRef>
              <c:f>Data!$CA$3</c:f>
              <c:strCache>
                <c:ptCount val="1"/>
                <c:pt idx="0">
                  <c:v>Compustat (positive profit)</c:v>
                </c:pt>
              </c:strCache>
            </c:strRef>
          </c:tx>
          <c:spPr>
            <a:ln w="28575" cap="rnd">
              <a:solidFill>
                <a:schemeClr val="accent2"/>
              </a:solidFill>
              <a:round/>
            </a:ln>
            <a:effectLst/>
          </c:spPr>
          <c:marker>
            <c:symbol val="none"/>
          </c:marke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Data!$CA$5:$CA$43</c:f>
              <c:numCache>
                <c:formatCode>0%</c:formatCode>
                <c:ptCount val="39"/>
                <c:pt idx="2">
                  <c:v>4.2581352428802413E-2</c:v>
                </c:pt>
                <c:pt idx="3">
                  <c:v>5.0010021738316313E-2</c:v>
                </c:pt>
                <c:pt idx="4">
                  <c:v>5.0105999621051313E-2</c:v>
                </c:pt>
                <c:pt idx="5">
                  <c:v>5.6536366936748232E-2</c:v>
                </c:pt>
                <c:pt idx="6">
                  <c:v>5.1375564806975652E-2</c:v>
                </c:pt>
                <c:pt idx="7">
                  <c:v>6.6240634347430077E-2</c:v>
                </c:pt>
                <c:pt idx="8">
                  <c:v>7.490367674402848E-2</c:v>
                </c:pt>
                <c:pt idx="9">
                  <c:v>7.5838530577881397E-2</c:v>
                </c:pt>
                <c:pt idx="10">
                  <c:v>5.9235503505691886E-2</c:v>
                </c:pt>
                <c:pt idx="11">
                  <c:v>5.4292385140732619E-2</c:v>
                </c:pt>
                <c:pt idx="12">
                  <c:v>5.7938070463983971E-2</c:v>
                </c:pt>
                <c:pt idx="13">
                  <c:v>7.1984316114794195E-2</c:v>
                </c:pt>
                <c:pt idx="14">
                  <c:v>6.5934195426403885E-2</c:v>
                </c:pt>
                <c:pt idx="15">
                  <c:v>7.4477481062870193E-2</c:v>
                </c:pt>
                <c:pt idx="16">
                  <c:v>7.6679292341142846E-2</c:v>
                </c:pt>
                <c:pt idx="17">
                  <c:v>7.6519181211645623E-2</c:v>
                </c:pt>
                <c:pt idx="18">
                  <c:v>8.3155038845176776E-2</c:v>
                </c:pt>
                <c:pt idx="19">
                  <c:v>0.10406382845402529</c:v>
                </c:pt>
                <c:pt idx="20">
                  <c:v>0.10402138014700184</c:v>
                </c:pt>
                <c:pt idx="21">
                  <c:v>9.1220742172004224E-2</c:v>
                </c:pt>
                <c:pt idx="22">
                  <c:v>0.11881925139155529</c:v>
                </c:pt>
                <c:pt idx="23">
                  <c:v>0.10100553641310592</c:v>
                </c:pt>
                <c:pt idx="24">
                  <c:v>0.11401090868721894</c:v>
                </c:pt>
                <c:pt idx="25">
                  <c:v>0.13209046225616433</c:v>
                </c:pt>
                <c:pt idx="26">
                  <c:v>0.12597067784681887</c:v>
                </c:pt>
                <c:pt idx="27">
                  <c:v>0.13801398020818909</c:v>
                </c:pt>
                <c:pt idx="28">
                  <c:v>0.13265644570535234</c:v>
                </c:pt>
                <c:pt idx="29">
                  <c:v>0.13931192422685382</c:v>
                </c:pt>
                <c:pt idx="30">
                  <c:v>0.15532211446565658</c:v>
                </c:pt>
                <c:pt idx="31">
                  <c:v>0.13768281279310784</c:v>
                </c:pt>
                <c:pt idx="32">
                  <c:v>0.14913404387545096</c:v>
                </c:pt>
                <c:pt idx="33">
                  <c:v>0.18568512806561269</c:v>
                </c:pt>
                <c:pt idx="34">
                  <c:v>0.20868551816598119</c:v>
                </c:pt>
                <c:pt idx="35">
                  <c:v>0.22305900480739099</c:v>
                </c:pt>
                <c:pt idx="36">
                  <c:v>0.23230440019526827</c:v>
                </c:pt>
                <c:pt idx="37">
                  <c:v>0.21143840542113387</c:v>
                </c:pt>
                <c:pt idx="38">
                  <c:v>0.19980446208208469</c:v>
                </c:pt>
              </c:numCache>
            </c:numRef>
          </c:val>
          <c:smooth val="0"/>
          <c:extLst>
            <c:ext xmlns:c16="http://schemas.microsoft.com/office/drawing/2014/chart" uri="{C3380CC4-5D6E-409C-BE32-E72D297353CC}">
              <c16:uniqueId val="{00000001-51D7-D044-98AC-B792871E5405}"/>
            </c:ext>
          </c:extLst>
        </c:ser>
        <c:ser>
          <c:idx val="2"/>
          <c:order val="2"/>
          <c:tx>
            <c:strRef>
              <c:f>Data!$CB$3</c:f>
              <c:strCache>
                <c:ptCount val="1"/>
                <c:pt idx="0">
                  <c:v>Multinationals (BEA survey)</c:v>
                </c:pt>
              </c:strCache>
            </c:strRef>
          </c:tx>
          <c:spPr>
            <a:ln w="28575" cap="rnd">
              <a:solidFill>
                <a:schemeClr val="accent3"/>
              </a:solidFill>
              <a:round/>
            </a:ln>
            <a:effectLst/>
          </c:spPr>
          <c:marker>
            <c:symbol val="none"/>
          </c:marke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Data!$CB$5:$CB$43</c:f>
              <c:numCache>
                <c:formatCode>0.0%</c:formatCode>
                <c:ptCount val="39"/>
                <c:pt idx="0">
                  <c:v>4.6943359146526906E-2</c:v>
                </c:pt>
                <c:pt idx="7">
                  <c:v>5.8604802870306193E-2</c:v>
                </c:pt>
                <c:pt idx="12">
                  <c:v>4.9639694458429737E-2</c:v>
                </c:pt>
                <c:pt idx="13">
                  <c:v>6.2836304487557879E-2</c:v>
                </c:pt>
                <c:pt idx="14">
                  <c:v>5.6172163693617508E-2</c:v>
                </c:pt>
                <c:pt idx="15">
                  <c:v>6.7197549897221667E-2</c:v>
                </c:pt>
                <c:pt idx="16">
                  <c:v>6.8450001465066551E-2</c:v>
                </c:pt>
                <c:pt idx="17">
                  <c:v>6.2051166558298863E-2</c:v>
                </c:pt>
                <c:pt idx="18">
                  <c:v>6.7385811247209729E-2</c:v>
                </c:pt>
                <c:pt idx="19">
                  <c:v>9.2235594845031438E-2</c:v>
                </c:pt>
                <c:pt idx="20">
                  <c:v>9.1035098026415989E-2</c:v>
                </c:pt>
                <c:pt idx="21">
                  <c:v>8.6447344750519836E-2</c:v>
                </c:pt>
                <c:pt idx="22">
                  <c:v>9.3894916311138651E-2</c:v>
                </c:pt>
                <c:pt idx="23">
                  <c:v>8.582102367465054E-2</c:v>
                </c:pt>
                <c:pt idx="24">
                  <c:v>9.0701076812911702E-2</c:v>
                </c:pt>
                <c:pt idx="25">
                  <c:v>0.10411474753303052</c:v>
                </c:pt>
                <c:pt idx="26">
                  <c:v>0.11160804286699559</c:v>
                </c:pt>
                <c:pt idx="27">
                  <c:v>0.13744580235307524</c:v>
                </c:pt>
                <c:pt idx="28">
                  <c:v>0.10477502295684116</c:v>
                </c:pt>
                <c:pt idx="29">
                  <c:v>0.10983425492849203</c:v>
                </c:pt>
                <c:pt idx="30">
                  <c:v>0.11821533646503114</c:v>
                </c:pt>
                <c:pt idx="31">
                  <c:v>9.9938205315126746E-2</c:v>
                </c:pt>
                <c:pt idx="32">
                  <c:v>0.11145428784640186</c:v>
                </c:pt>
                <c:pt idx="33">
                  <c:v>0.13511288047956954</c:v>
                </c:pt>
                <c:pt idx="34">
                  <c:v>0.14218405229150236</c:v>
                </c:pt>
                <c:pt idx="35">
                  <c:v>0.1625755426413821</c:v>
                </c:pt>
                <c:pt idx="36">
                  <c:v>0.14978740435470014</c:v>
                </c:pt>
                <c:pt idx="37">
                  <c:v>0.14000403567634845</c:v>
                </c:pt>
                <c:pt idx="38">
                  <c:v>0.18585758562629365</c:v>
                </c:pt>
              </c:numCache>
            </c:numRef>
          </c:val>
          <c:smooth val="0"/>
          <c:extLst>
            <c:ext xmlns:c16="http://schemas.microsoft.com/office/drawing/2014/chart" uri="{C3380CC4-5D6E-409C-BE32-E72D297353CC}">
              <c16:uniqueId val="{00000002-51D7-D044-98AC-B792871E5405}"/>
            </c:ext>
          </c:extLst>
        </c:ser>
        <c:ser>
          <c:idx val="3"/>
          <c:order val="3"/>
          <c:tx>
            <c:strRef>
              <c:f>Data!$BZ$3</c:f>
              <c:strCache>
                <c:ptCount val="1"/>
                <c:pt idx="0">
                  <c:v>NIPA (no S-corp correction)</c:v>
                </c:pt>
              </c:strCache>
            </c:strRef>
          </c:tx>
          <c:spPr>
            <a:ln w="28575" cap="rnd">
              <a:solidFill>
                <a:schemeClr val="accent4"/>
              </a:solidFill>
              <a:round/>
            </a:ln>
            <a:effectLst/>
          </c:spPr>
          <c:marker>
            <c:symbol val="none"/>
          </c:marker>
          <c:cat>
            <c:numRef>
              <c:f>Data!$BP$5:$BP$43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Data!$BZ$5:$BZ$43</c:f>
              <c:numCache>
                <c:formatCode>0%</c:formatCode>
                <c:ptCount val="39"/>
                <c:pt idx="0">
                  <c:v>3.9534949665862629E-2</c:v>
                </c:pt>
                <c:pt idx="1">
                  <c:v>3.228662112807125E-2</c:v>
                </c:pt>
                <c:pt idx="2">
                  <c:v>2.8885067392480882E-2</c:v>
                </c:pt>
                <c:pt idx="3">
                  <c:v>2.8554962117557554E-2</c:v>
                </c:pt>
                <c:pt idx="4">
                  <c:v>2.9005778058835672E-2</c:v>
                </c:pt>
                <c:pt idx="5">
                  <c:v>3.430092517851302E-2</c:v>
                </c:pt>
                <c:pt idx="6">
                  <c:v>3.0150583434437096E-2</c:v>
                </c:pt>
                <c:pt idx="7">
                  <c:v>3.7366272991369603E-2</c:v>
                </c:pt>
                <c:pt idx="8">
                  <c:v>4.3972935786137174E-2</c:v>
                </c:pt>
                <c:pt idx="9">
                  <c:v>3.8729282285735148E-2</c:v>
                </c:pt>
                <c:pt idx="10">
                  <c:v>3.4173518106674086E-2</c:v>
                </c:pt>
                <c:pt idx="11">
                  <c:v>3.324612465094496E-2</c:v>
                </c:pt>
                <c:pt idx="12">
                  <c:v>3.2121126071773157E-2</c:v>
                </c:pt>
                <c:pt idx="13">
                  <c:v>3.8560038548751389E-2</c:v>
                </c:pt>
                <c:pt idx="14">
                  <c:v>3.5587767639470212E-2</c:v>
                </c:pt>
                <c:pt idx="15">
                  <c:v>4.0587996360557842E-2</c:v>
                </c:pt>
                <c:pt idx="16">
                  <c:v>4.5100213426682377E-2</c:v>
                </c:pt>
                <c:pt idx="17">
                  <c:v>5.0516091044185807E-2</c:v>
                </c:pt>
                <c:pt idx="18">
                  <c:v>6.383556570826375E-2</c:v>
                </c:pt>
                <c:pt idx="19">
                  <c:v>6.5391099904423683E-2</c:v>
                </c:pt>
                <c:pt idx="20">
                  <c:v>5.8476521406968365E-2</c:v>
                </c:pt>
                <c:pt idx="21">
                  <c:v>5.7572868849424606E-2</c:v>
                </c:pt>
                <c:pt idx="22">
                  <c:v>6.7827327414901176E-2</c:v>
                </c:pt>
                <c:pt idx="23">
                  <c:v>6.1106494238431223E-2</c:v>
                </c:pt>
                <c:pt idx="24">
                  <c:v>6.6632638937966213E-2</c:v>
                </c:pt>
                <c:pt idx="25">
                  <c:v>8.2700683686048951E-2</c:v>
                </c:pt>
                <c:pt idx="26">
                  <c:v>9.9214773300359022E-2</c:v>
                </c:pt>
                <c:pt idx="27">
                  <c:v>0.10273802409696935</c:v>
                </c:pt>
                <c:pt idx="28">
                  <c:v>8.9138276221217644E-2</c:v>
                </c:pt>
                <c:pt idx="29">
                  <c:v>9.5993106304787731E-2</c:v>
                </c:pt>
                <c:pt idx="30">
                  <c:v>9.184252705714252E-2</c:v>
                </c:pt>
                <c:pt idx="31">
                  <c:v>9.1735110289264371E-2</c:v>
                </c:pt>
                <c:pt idx="32">
                  <c:v>9.7771159803734409E-2</c:v>
                </c:pt>
                <c:pt idx="33">
                  <c:v>0.11520728247128721</c:v>
                </c:pt>
                <c:pt idx="34">
                  <c:v>0.13316750573638217</c:v>
                </c:pt>
                <c:pt idx="35">
                  <c:v>0.14476782673258928</c:v>
                </c:pt>
                <c:pt idx="36">
                  <c:v>0.146447626448033</c:v>
                </c:pt>
                <c:pt idx="37">
                  <c:v>0.13677946268190516</c:v>
                </c:pt>
                <c:pt idx="38">
                  <c:v>0.13167339024129388</c:v>
                </c:pt>
              </c:numCache>
            </c:numRef>
          </c:val>
          <c:smooth val="0"/>
          <c:extLst>
            <c:ext xmlns:c16="http://schemas.microsoft.com/office/drawing/2014/chart" uri="{C3380CC4-5D6E-409C-BE32-E72D297353CC}">
              <c16:uniqueId val="{00000003-51D7-D044-98AC-B792871E5405}"/>
            </c:ext>
          </c:extLst>
        </c:ser>
        <c:dLbls>
          <c:showLegendKey val="0"/>
          <c:showVal val="0"/>
          <c:showCatName val="0"/>
          <c:showSerName val="0"/>
          <c:showPercent val="0"/>
          <c:showBubbleSize val="0"/>
        </c:dLbls>
        <c:smooth val="0"/>
        <c:axId val="726227872"/>
        <c:axId val="726229520"/>
      </c:lineChart>
      <c:catAx>
        <c:axId val="7262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29520"/>
        <c:crosses val="autoZero"/>
        <c:auto val="1"/>
        <c:lblAlgn val="ctr"/>
        <c:lblOffset val="100"/>
        <c:noMultiLvlLbl val="0"/>
      </c:catAx>
      <c:valAx>
        <c:axId val="726229520"/>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27872"/>
        <c:crosses val="autoZero"/>
        <c:crossBetween val="between"/>
      </c:valAx>
      <c:spPr>
        <a:noFill/>
        <a:ln>
          <a:noFill/>
        </a:ln>
        <a:effectLst/>
      </c:spPr>
    </c:plotArea>
    <c:legend>
      <c:legendPos val="b"/>
      <c:layout>
        <c:manualLayout>
          <c:xMode val="edge"/>
          <c:yMode val="edge"/>
          <c:x val="0.11206893477937899"/>
          <c:y val="0.29050816564596088"/>
          <c:w val="0.52072572178477683"/>
          <c:h val="0.21412146398366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578417984459049E-2"/>
          <c:y val="3.4548389221322549E-2"/>
          <c:w val="0.8891593492733918"/>
          <c:h val="0.87904707088775214"/>
        </c:manualLayout>
      </c:layout>
      <c:lineChart>
        <c:grouping val="standard"/>
        <c:varyColors val="0"/>
        <c:ser>
          <c:idx val="0"/>
          <c:order val="0"/>
          <c:tx>
            <c:v>After-tax profit-type return of majority-owned affiliates / direct investment equity income</c:v>
          </c:tx>
          <c:spPr>
            <a:ln w="28575" cap="rnd">
              <a:solidFill>
                <a:schemeClr val="accent1"/>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Data!$DA$5:$DA$43</c:f>
              <c:numCache>
                <c:formatCode>0%</c:formatCode>
                <c:ptCount val="39"/>
                <c:pt idx="0">
                  <c:v>0.84044500269154876</c:v>
                </c:pt>
                <c:pt idx="1">
                  <c:v>0.86393462919400765</c:v>
                </c:pt>
                <c:pt idx="2">
                  <c:v>0.85063646883782462</c:v>
                </c:pt>
                <c:pt idx="3">
                  <c:v>0.87129179555162761</c:v>
                </c:pt>
                <c:pt idx="4">
                  <c:v>0.89260036368722906</c:v>
                </c:pt>
                <c:pt idx="5">
                  <c:v>0.9766909897751449</c:v>
                </c:pt>
                <c:pt idx="6">
                  <c:v>0.88548291739075902</c:v>
                </c:pt>
                <c:pt idx="7">
                  <c:v>0.93476667917716649</c:v>
                </c:pt>
                <c:pt idx="8">
                  <c:v>0.91193157322940543</c:v>
                </c:pt>
                <c:pt idx="9">
                  <c:v>0.88814065160414013</c:v>
                </c:pt>
                <c:pt idx="10">
                  <c:v>0.84281378114159577</c:v>
                </c:pt>
                <c:pt idx="11">
                  <c:v>0.84045734089905189</c:v>
                </c:pt>
                <c:pt idx="12">
                  <c:v>0.81653234685339315</c:v>
                </c:pt>
                <c:pt idx="13">
                  <c:v>0.88336584459616363</c:v>
                </c:pt>
                <c:pt idx="14">
                  <c:v>0.91641897131041616</c:v>
                </c:pt>
                <c:pt idx="15">
                  <c:v>0.92822585289995585</c:v>
                </c:pt>
                <c:pt idx="16">
                  <c:v>0.93698538060830117</c:v>
                </c:pt>
                <c:pt idx="17">
                  <c:v>0.87096600204958585</c:v>
                </c:pt>
                <c:pt idx="18">
                  <c:v>0.86505339503083567</c:v>
                </c:pt>
                <c:pt idx="19">
                  <c:v>0.8146898864906863</c:v>
                </c:pt>
                <c:pt idx="20">
                  <c:v>0.84710486303247834</c:v>
                </c:pt>
                <c:pt idx="21">
                  <c:v>0.9244077355458713</c:v>
                </c:pt>
                <c:pt idx="22">
                  <c:v>0.82769422435736562</c:v>
                </c:pt>
                <c:pt idx="23">
                  <c:v>0.83997682502896875</c:v>
                </c:pt>
                <c:pt idx="24">
                  <c:v>0.84194754043409048</c:v>
                </c:pt>
                <c:pt idx="25">
                  <c:v>0.85861918095904821</c:v>
                </c:pt>
                <c:pt idx="26">
                  <c:v>0.80184324610922231</c:v>
                </c:pt>
                <c:pt idx="27">
                  <c:v>0.86732353232204806</c:v>
                </c:pt>
                <c:pt idx="28">
                  <c:v>0.80177025533929902</c:v>
                </c:pt>
                <c:pt idx="29">
                  <c:v>0.90062942707624771</c:v>
                </c:pt>
                <c:pt idx="30">
                  <c:v>0.91138599773269069</c:v>
                </c:pt>
                <c:pt idx="31">
                  <c:v>0.84676991090191944</c:v>
                </c:pt>
                <c:pt idx="32">
                  <c:v>0.94020422426709482</c:v>
                </c:pt>
                <c:pt idx="33">
                  <c:v>0.91266612550026449</c:v>
                </c:pt>
                <c:pt idx="34">
                  <c:v>0.82644291659127911</c:v>
                </c:pt>
                <c:pt idx="35">
                  <c:v>0.85158861972384636</c:v>
                </c:pt>
                <c:pt idx="36">
                  <c:v>0.82613655648369866</c:v>
                </c:pt>
                <c:pt idx="37">
                  <c:v>0.73919056779489989</c:v>
                </c:pt>
                <c:pt idx="38">
                  <c:v>0.76335128300550159</c:v>
                </c:pt>
              </c:numCache>
            </c:numRef>
          </c:val>
          <c:smooth val="0"/>
          <c:extLst>
            <c:ext xmlns:c16="http://schemas.microsoft.com/office/drawing/2014/chart" uri="{C3380CC4-5D6E-409C-BE32-E72D297353CC}">
              <c16:uniqueId val="{00000000-73ED-3F48-A4C8-D31A0AFE6EA9}"/>
            </c:ext>
          </c:extLst>
        </c:ser>
        <c:dLbls>
          <c:showLegendKey val="0"/>
          <c:showVal val="0"/>
          <c:showCatName val="0"/>
          <c:showSerName val="0"/>
          <c:showPercent val="0"/>
          <c:showBubbleSize val="0"/>
        </c:dLbls>
        <c:smooth val="0"/>
        <c:axId val="998288688"/>
        <c:axId val="1012482304"/>
      </c:lineChart>
      <c:catAx>
        <c:axId val="998288688"/>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1012482304"/>
        <c:crosses val="autoZero"/>
        <c:auto val="1"/>
        <c:lblAlgn val="ctr"/>
        <c:lblOffset val="100"/>
        <c:tickLblSkip val="4"/>
        <c:tickMarkSkip val="4"/>
        <c:noMultiLvlLbl val="0"/>
      </c:catAx>
      <c:valAx>
        <c:axId val="1012482304"/>
        <c:scaling>
          <c:orientation val="minMax"/>
          <c:max val="1.05"/>
          <c:min val="0"/>
        </c:scaling>
        <c:delete val="0"/>
        <c:axPos val="l"/>
        <c:numFmt formatCode="0%" sourceLinked="1"/>
        <c:majorTickMark val="none"/>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998288688"/>
        <c:crosses val="autoZero"/>
        <c:crossBetween val="between"/>
      </c:valAx>
      <c:spPr>
        <a:noFill/>
        <a:ln>
          <a:noFill/>
        </a:ln>
        <a:effectLst/>
      </c:spPr>
    </c:plotArea>
    <c:legend>
      <c:legendPos val="r"/>
      <c:layout>
        <c:manualLayout>
          <c:xMode val="edge"/>
          <c:yMode val="edge"/>
          <c:x val="0.24958913587791756"/>
          <c:y val="0.44549238732758017"/>
          <c:w val="0.71084189699328937"/>
          <c:h val="0.19757186087229869"/>
        </c:manualLayout>
      </c:layout>
      <c:overlay val="0"/>
      <c:spPr>
        <a:noFill/>
        <a:ln>
          <a:noFill/>
        </a:ln>
        <a:effectLst/>
      </c:spPr>
      <c:txPr>
        <a:bodyPr rot="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200">
          <a:solidFill>
            <a:schemeClr val="tx1"/>
          </a:solidFill>
          <a:latin typeface="Palatino" pitchFamily="2" charset="77"/>
          <a:ea typeface="Palatino" pitchFamily="2" charset="77"/>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578417984459049E-2"/>
          <c:y val="3.4548389221322549E-2"/>
          <c:w val="0.8891593492733918"/>
          <c:h val="0.87904707088775214"/>
        </c:manualLayout>
      </c:layout>
      <c:lineChart>
        <c:grouping val="standard"/>
        <c:varyColors val="0"/>
        <c:ser>
          <c:idx val="0"/>
          <c:order val="0"/>
          <c:tx>
            <c:v>Foreign profits in Compustat / direct investment equity income</c:v>
          </c:tx>
          <c:spPr>
            <a:ln w="28575" cap="rnd">
              <a:solidFill>
                <a:schemeClr val="accent1"/>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Data!$CW$5:$CW$43</c:f>
              <c:numCache>
                <c:formatCode>0%</c:formatCode>
                <c:ptCount val="39"/>
                <c:pt idx="2">
                  <c:v>0.62903859546406771</c:v>
                </c:pt>
                <c:pt idx="3">
                  <c:v>0.70529156067995347</c:v>
                </c:pt>
                <c:pt idx="4">
                  <c:v>0.71079423560805166</c:v>
                </c:pt>
                <c:pt idx="5">
                  <c:v>0.70272360786224508</c:v>
                </c:pt>
                <c:pt idx="6">
                  <c:v>0.70858885419363682</c:v>
                </c:pt>
                <c:pt idx="7">
                  <c:v>0.72214658595839731</c:v>
                </c:pt>
                <c:pt idx="8">
                  <c:v>0.74146054627594604</c:v>
                </c:pt>
                <c:pt idx="9">
                  <c:v>0.63770828759492681</c:v>
                </c:pt>
                <c:pt idx="10">
                  <c:v>0.58039999007033716</c:v>
                </c:pt>
                <c:pt idx="11">
                  <c:v>0.53394598740995269</c:v>
                </c:pt>
                <c:pt idx="12">
                  <c:v>0.69616429368433597</c:v>
                </c:pt>
                <c:pt idx="13">
                  <c:v>0.71962760304355289</c:v>
                </c:pt>
                <c:pt idx="14">
                  <c:v>0.73803124178386081</c:v>
                </c:pt>
                <c:pt idx="15">
                  <c:v>0.69994353487766003</c:v>
                </c:pt>
                <c:pt idx="16">
                  <c:v>0.67248334017202638</c:v>
                </c:pt>
                <c:pt idx="17">
                  <c:v>0.73223728978048053</c:v>
                </c:pt>
                <c:pt idx="18">
                  <c:v>0.75017712813756243</c:v>
                </c:pt>
                <c:pt idx="19">
                  <c:v>0.70457365314235498</c:v>
                </c:pt>
                <c:pt idx="20">
                  <c:v>0.74459662991297348</c:v>
                </c:pt>
                <c:pt idx="21">
                  <c:v>0.79729046473400467</c:v>
                </c:pt>
                <c:pt idx="22">
                  <c:v>0.91252051474456597</c:v>
                </c:pt>
                <c:pt idx="23">
                  <c:v>0.86474366564477034</c:v>
                </c:pt>
                <c:pt idx="24">
                  <c:v>0.93614960205456954</c:v>
                </c:pt>
                <c:pt idx="25">
                  <c:v>0.97055128438087757</c:v>
                </c:pt>
                <c:pt idx="26">
                  <c:v>0.75787911484201687</c:v>
                </c:pt>
                <c:pt idx="27">
                  <c:v>0.81480731967023368</c:v>
                </c:pt>
                <c:pt idx="28">
                  <c:v>0.83853763981224216</c:v>
                </c:pt>
                <c:pt idx="29">
                  <c:v>0.88761569558159115</c:v>
                </c:pt>
                <c:pt idx="30">
                  <c:v>0.88699159537254668</c:v>
                </c:pt>
                <c:pt idx="31">
                  <c:v>0.87038021752045658</c:v>
                </c:pt>
                <c:pt idx="32">
                  <c:v>0.88373402763358455</c:v>
                </c:pt>
                <c:pt idx="33">
                  <c:v>0.82726434920237868</c:v>
                </c:pt>
                <c:pt idx="34">
                  <c:v>0.85242878621523077</c:v>
                </c:pt>
                <c:pt idx="35">
                  <c:v>0.86260926850959641</c:v>
                </c:pt>
                <c:pt idx="36">
                  <c:v>0.91202563290541017</c:v>
                </c:pt>
                <c:pt idx="37">
                  <c:v>0.8099393111586054</c:v>
                </c:pt>
                <c:pt idx="38">
                  <c:v>0.73162641421543173</c:v>
                </c:pt>
              </c:numCache>
            </c:numRef>
          </c:val>
          <c:smooth val="0"/>
          <c:extLst>
            <c:ext xmlns:c16="http://schemas.microsoft.com/office/drawing/2014/chart" uri="{C3380CC4-5D6E-409C-BE32-E72D297353CC}">
              <c16:uniqueId val="{00000000-BF43-FA45-81AB-65A88D848E01}"/>
            </c:ext>
          </c:extLst>
        </c:ser>
        <c:dLbls>
          <c:showLegendKey val="0"/>
          <c:showVal val="0"/>
          <c:showCatName val="0"/>
          <c:showSerName val="0"/>
          <c:showPercent val="0"/>
          <c:showBubbleSize val="0"/>
        </c:dLbls>
        <c:smooth val="0"/>
        <c:axId val="998288688"/>
        <c:axId val="1012482304"/>
      </c:lineChart>
      <c:catAx>
        <c:axId val="998288688"/>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1012482304"/>
        <c:crosses val="autoZero"/>
        <c:auto val="1"/>
        <c:lblAlgn val="ctr"/>
        <c:lblOffset val="100"/>
        <c:tickLblSkip val="4"/>
        <c:tickMarkSkip val="4"/>
        <c:noMultiLvlLbl val="0"/>
      </c:catAx>
      <c:valAx>
        <c:axId val="1012482304"/>
        <c:scaling>
          <c:orientation val="minMax"/>
          <c:max val="1.05"/>
          <c:min val="0"/>
        </c:scaling>
        <c:delete val="0"/>
        <c:axPos val="l"/>
        <c:numFmt formatCode="0%" sourceLinked="1"/>
        <c:majorTickMark val="none"/>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998288688"/>
        <c:crosses val="autoZero"/>
        <c:crossBetween val="between"/>
      </c:valAx>
      <c:spPr>
        <a:noFill/>
        <a:ln>
          <a:noFill/>
        </a:ln>
        <a:effectLst/>
      </c:spPr>
    </c:plotArea>
    <c:legend>
      <c:legendPos val="r"/>
      <c:layout>
        <c:manualLayout>
          <c:xMode val="edge"/>
          <c:yMode val="edge"/>
          <c:x val="0.4049339697909573"/>
          <c:y val="0.47781836554636153"/>
          <c:w val="0.55256602847811687"/>
          <c:h val="0.19757186087229869"/>
        </c:manualLayout>
      </c:layout>
      <c:overlay val="0"/>
      <c:spPr>
        <a:noFill/>
        <a:ln>
          <a:noFill/>
        </a:ln>
        <a:effectLst/>
      </c:spPr>
      <c:txPr>
        <a:bodyPr rot="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200">
          <a:solidFill>
            <a:schemeClr val="tx1"/>
          </a:solidFill>
          <a:latin typeface="Palatino" pitchFamily="2" charset="77"/>
          <a:ea typeface="Palatino" pitchFamily="2" charset="77"/>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62392640158632"/>
          <c:y val="3.4548389221322549E-2"/>
          <c:w val="0.86059130053838429"/>
          <c:h val="0.83904367284201031"/>
        </c:manualLayout>
      </c:layout>
      <c:lineChart>
        <c:grouping val="standard"/>
        <c:varyColors val="0"/>
        <c:ser>
          <c:idx val="2"/>
          <c:order val="0"/>
          <c:tx>
            <c:v>All corporations (NIPA)</c:v>
          </c:tx>
          <c:spPr>
            <a:ln w="28575" cap="rnd">
              <a:solidFill>
                <a:schemeClr val="accent3"/>
              </a:solidFill>
              <a:round/>
            </a:ln>
            <a:effectLst/>
          </c:spPr>
          <c:marker>
            <c:symbol val="none"/>
          </c:marker>
          <c:val>
            <c:numRef>
              <c:f>Data!$AS$5:$AS$43</c:f>
              <c:numCache>
                <c:formatCode>0%</c:formatCode>
                <c:ptCount val="39"/>
                <c:pt idx="0">
                  <c:v>0.26543808636983685</c:v>
                </c:pt>
                <c:pt idx="1">
                  <c:v>0.2331307743867741</c:v>
                </c:pt>
                <c:pt idx="2">
                  <c:v>0.22043427980929831</c:v>
                </c:pt>
                <c:pt idx="3">
                  <c:v>0.20694583259071936</c:v>
                </c:pt>
                <c:pt idx="4">
                  <c:v>0.20110249099838537</c:v>
                </c:pt>
                <c:pt idx="5">
                  <c:v>0.20704917393837327</c:v>
                </c:pt>
                <c:pt idx="6">
                  <c:v>0.22786437311775343</c:v>
                </c:pt>
                <c:pt idx="7">
                  <c:v>0.23570636596355415</c:v>
                </c:pt>
                <c:pt idx="8">
                  <c:v>0.23817455734708956</c:v>
                </c:pt>
                <c:pt idx="9">
                  <c:v>0.19482029121208511</c:v>
                </c:pt>
                <c:pt idx="10">
                  <c:v>0.18834489127280876</c:v>
                </c:pt>
                <c:pt idx="11">
                  <c:v>0.18403974273830481</c:v>
                </c:pt>
                <c:pt idx="12">
                  <c:v>0.18310318015016638</c:v>
                </c:pt>
                <c:pt idx="13">
                  <c:v>0.1989530962216414</c:v>
                </c:pt>
                <c:pt idx="14">
                  <c:v>0.19520257229508392</c:v>
                </c:pt>
                <c:pt idx="15">
                  <c:v>0.19692663353356124</c:v>
                </c:pt>
                <c:pt idx="16">
                  <c:v>0.1903349659694219</c:v>
                </c:pt>
                <c:pt idx="17">
                  <c:v>0.23582056271566348</c:v>
                </c:pt>
                <c:pt idx="18">
                  <c:v>0.29873333649415607</c:v>
                </c:pt>
                <c:pt idx="19">
                  <c:v>0.27635349792785557</c:v>
                </c:pt>
                <c:pt idx="20">
                  <c:v>0.23986703173078383</c:v>
                </c:pt>
                <c:pt idx="21">
                  <c:v>0.25031134412534578</c:v>
                </c:pt>
                <c:pt idx="22">
                  <c:v>0.27612909886056602</c:v>
                </c:pt>
                <c:pt idx="23">
                  <c:v>0.29219114623789022</c:v>
                </c:pt>
                <c:pt idx="24">
                  <c:v>0.29324333948135817</c:v>
                </c:pt>
                <c:pt idx="25">
                  <c:v>0.36057995422882461</c:v>
                </c:pt>
                <c:pt idx="26">
                  <c:v>0.48653539629964515</c:v>
                </c:pt>
                <c:pt idx="27">
                  <c:v>0.3829788054860141</c:v>
                </c:pt>
                <c:pt idx="28">
                  <c:v>0.37782798594428513</c:v>
                </c:pt>
                <c:pt idx="29">
                  <c:v>0.39364025558563687</c:v>
                </c:pt>
                <c:pt idx="30">
                  <c:v>0.35209796008068417</c:v>
                </c:pt>
                <c:pt idx="31">
                  <c:v>0.35524405531417402</c:v>
                </c:pt>
                <c:pt idx="32">
                  <c:v>0.3392619890857192</c:v>
                </c:pt>
                <c:pt idx="33">
                  <c:v>0.32420454711844698</c:v>
                </c:pt>
                <c:pt idx="34">
                  <c:v>0.33694840410969862</c:v>
                </c:pt>
                <c:pt idx="35">
                  <c:v>0.3854128235038759</c:v>
                </c:pt>
                <c:pt idx="36">
                  <c:v>0.37706504259890183</c:v>
                </c:pt>
                <c:pt idx="37">
                  <c:v>0.36870451482201061</c:v>
                </c:pt>
                <c:pt idx="38">
                  <c:v>0.33631960356668478</c:v>
                </c:pt>
              </c:numCache>
            </c:numRef>
          </c:val>
          <c:smooth val="0"/>
          <c:extLst>
            <c:ext xmlns:c16="http://schemas.microsoft.com/office/drawing/2014/chart" uri="{C3380CC4-5D6E-409C-BE32-E72D297353CC}">
              <c16:uniqueId val="{00000000-1A98-104F-8C0C-59FFA4761134}"/>
            </c:ext>
          </c:extLst>
        </c:ser>
        <c:ser>
          <c:idx val="4"/>
          <c:order val="1"/>
          <c:tx>
            <c:v>All corporations, no S-corporation correction (NIPA)</c:v>
          </c:tx>
          <c:spPr>
            <a:ln w="28575" cap="rnd">
              <a:solidFill>
                <a:schemeClr val="bg1">
                  <a:lumMod val="65000"/>
                </a:schemeClr>
              </a:solidFill>
              <a:prstDash val="dash"/>
              <a:round/>
            </a:ln>
            <a:effectLst/>
          </c:spPr>
          <c:marker>
            <c:symbol val="none"/>
          </c:marker>
          <c:val>
            <c:numRef>
              <c:f>Data!$AR$5:$AR$43</c:f>
              <c:numCache>
                <c:formatCode>0%</c:formatCode>
                <c:ptCount val="39"/>
                <c:pt idx="0">
                  <c:v>0.2639029315161463</c:v>
                </c:pt>
                <c:pt idx="1">
                  <c:v>0.23061191022110608</c:v>
                </c:pt>
                <c:pt idx="2">
                  <c:v>0.21678093423207798</c:v>
                </c:pt>
                <c:pt idx="3">
                  <c:v>0.20336934217596014</c:v>
                </c:pt>
                <c:pt idx="4">
                  <c:v>0.19743546514444185</c:v>
                </c:pt>
                <c:pt idx="5">
                  <c:v>0.20047477173598649</c:v>
                </c:pt>
                <c:pt idx="6">
                  <c:v>0.21563725211903792</c:v>
                </c:pt>
                <c:pt idx="7">
                  <c:v>0.2225079150148386</c:v>
                </c:pt>
                <c:pt idx="8">
                  <c:v>0.2248359255252132</c:v>
                </c:pt>
                <c:pt idx="9">
                  <c:v>0.18594976883648864</c:v>
                </c:pt>
                <c:pt idx="10">
                  <c:v>0.1759525735434605</c:v>
                </c:pt>
                <c:pt idx="11">
                  <c:v>0.17278009576132383</c:v>
                </c:pt>
                <c:pt idx="12">
                  <c:v>0.16968972705454177</c:v>
                </c:pt>
                <c:pt idx="13">
                  <c:v>0.18495166082754622</c:v>
                </c:pt>
                <c:pt idx="14">
                  <c:v>0.1803782720265962</c:v>
                </c:pt>
                <c:pt idx="15">
                  <c:v>0.18057647016288519</c:v>
                </c:pt>
                <c:pt idx="16">
                  <c:v>0.17123877396336068</c:v>
                </c:pt>
                <c:pt idx="17">
                  <c:v>0.20989498669013434</c:v>
                </c:pt>
                <c:pt idx="18">
                  <c:v>0.26398932990237928</c:v>
                </c:pt>
                <c:pt idx="19">
                  <c:v>0.24231294678524076</c:v>
                </c:pt>
                <c:pt idx="20">
                  <c:v>0.21367125520483449</c:v>
                </c:pt>
                <c:pt idx="21">
                  <c:v>0.2235077206035733</c:v>
                </c:pt>
                <c:pt idx="22">
                  <c:v>0.24590815467840879</c:v>
                </c:pt>
                <c:pt idx="23">
                  <c:v>0.25626657799575597</c:v>
                </c:pt>
                <c:pt idx="24">
                  <c:v>0.2589169162396574</c:v>
                </c:pt>
                <c:pt idx="25">
                  <c:v>0.31626747220332008</c:v>
                </c:pt>
                <c:pt idx="26">
                  <c:v>0.4236641074872145</c:v>
                </c:pt>
                <c:pt idx="27">
                  <c:v>0.33957745221694463</c:v>
                </c:pt>
                <c:pt idx="28">
                  <c:v>0.33598194716510671</c:v>
                </c:pt>
                <c:pt idx="29">
                  <c:v>0.34831007430669025</c:v>
                </c:pt>
                <c:pt idx="30">
                  <c:v>0.3047173722176027</c:v>
                </c:pt>
                <c:pt idx="31">
                  <c:v>0.30683260703355125</c:v>
                </c:pt>
                <c:pt idx="32">
                  <c:v>0.28955343197580707</c:v>
                </c:pt>
                <c:pt idx="33">
                  <c:v>0.26794976673449977</c:v>
                </c:pt>
                <c:pt idx="34">
                  <c:v>0.27713729446080082</c:v>
                </c:pt>
                <c:pt idx="35">
                  <c:v>0.31628498599852117</c:v>
                </c:pt>
                <c:pt idx="36">
                  <c:v>0.30917517839492903</c:v>
                </c:pt>
                <c:pt idx="37">
                  <c:v>0.30242193404197953</c:v>
                </c:pt>
                <c:pt idx="38">
                  <c:v>0.27351977536149286</c:v>
                </c:pt>
              </c:numCache>
            </c:numRef>
          </c:val>
          <c:smooth val="0"/>
          <c:extLst>
            <c:ext xmlns:c16="http://schemas.microsoft.com/office/drawing/2014/chart" uri="{C3380CC4-5D6E-409C-BE32-E72D297353CC}">
              <c16:uniqueId val="{00000005-1A98-104F-8C0C-59FFA4761134}"/>
            </c:ext>
          </c:extLst>
        </c:ser>
        <c:ser>
          <c:idx val="5"/>
          <c:order val="2"/>
          <c:tx>
            <c:v>Listed corporations (Compustat)</c:v>
          </c:tx>
          <c:spPr>
            <a:ln w="28575" cap="rnd">
              <a:solidFill>
                <a:schemeClr val="accent6"/>
              </a:solidFill>
              <a:round/>
            </a:ln>
            <a:effectLst/>
          </c:spPr>
          <c:marker>
            <c:symbol val="none"/>
          </c:marker>
          <c:val>
            <c:numRef>
              <c:f>Data!$J$5:$J$43</c:f>
              <c:numCache>
                <c:formatCode>General</c:formatCode>
                <c:ptCount val="39"/>
                <c:pt idx="2" formatCode="0%">
                  <c:v>0.33151992138936592</c:v>
                </c:pt>
                <c:pt idx="3" formatCode="0%">
                  <c:v>0.38605924388790541</c:v>
                </c:pt>
                <c:pt idx="4" formatCode="0%">
                  <c:v>0.38541983054940981</c:v>
                </c:pt>
                <c:pt idx="5" formatCode="0%">
                  <c:v>0.35575465194801198</c:v>
                </c:pt>
                <c:pt idx="6" formatCode="0%">
                  <c:v>0.3836590478252585</c:v>
                </c:pt>
                <c:pt idx="7" formatCode="0%">
                  <c:v>0.41385300036217149</c:v>
                </c:pt>
                <c:pt idx="8" formatCode="0%">
                  <c:v>0.41669614140867112</c:v>
                </c:pt>
                <c:pt idx="9" formatCode="0%">
                  <c:v>0.42605715323425719</c:v>
                </c:pt>
                <c:pt idx="10" formatCode="0%">
                  <c:v>0.32923762656552602</c:v>
                </c:pt>
                <c:pt idx="11" formatCode="0%">
                  <c:v>0.3142450743995937</c:v>
                </c:pt>
                <c:pt idx="12" formatCode="0%">
                  <c:v>0.3162430672655222</c:v>
                </c:pt>
                <c:pt idx="13" formatCode="0%">
                  <c:v>0.36449551846538653</c:v>
                </c:pt>
                <c:pt idx="14" formatCode="0%">
                  <c:v>0.34915745672146592</c:v>
                </c:pt>
                <c:pt idx="15" formatCode="0%">
                  <c:v>0.34564811479090313</c:v>
                </c:pt>
                <c:pt idx="16" formatCode="0%">
                  <c:v>0.31357642481256659</c:v>
                </c:pt>
                <c:pt idx="17" formatCode="0%">
                  <c:v>0.32850080854226132</c:v>
                </c:pt>
                <c:pt idx="18" formatCode="0%">
                  <c:v>0.36158761900914138</c:v>
                </c:pt>
                <c:pt idx="19" formatCode="0%">
                  <c:v>0.4712546500876641</c:v>
                </c:pt>
                <c:pt idx="20" formatCode="0%">
                  <c:v>0.44046899812405782</c:v>
                </c:pt>
                <c:pt idx="21" formatCode="0%">
                  <c:v>0.38699745417056652</c:v>
                </c:pt>
                <c:pt idx="22" formatCode="0%">
                  <c:v>0.45974898022072541</c:v>
                </c:pt>
                <c:pt idx="23" formatCode="0%">
                  <c:v>0.43771220186342019</c:v>
                </c:pt>
                <c:pt idx="24" formatCode="0%">
                  <c:v>0.45699060434101152</c:v>
                </c:pt>
                <c:pt idx="25" formatCode="0%">
                  <c:v>0.53028028402216298</c:v>
                </c:pt>
                <c:pt idx="26" formatCode="0%">
                  <c:v>0.61029008359699177</c:v>
                </c:pt>
                <c:pt idx="27" formatCode="0%">
                  <c:v>0.49937393323976909</c:v>
                </c:pt>
                <c:pt idx="28" formatCode="0%">
                  <c:v>0.5157405047462944</c:v>
                </c:pt>
                <c:pt idx="29" formatCode="0%">
                  <c:v>0.5235620411713755</c:v>
                </c:pt>
                <c:pt idx="30" formatCode="0%">
                  <c:v>0.53452485248976511</c:v>
                </c:pt>
                <c:pt idx="31" formatCode="0%">
                  <c:v>0.47341465569500402</c:v>
                </c:pt>
                <c:pt idx="32" formatCode="0%">
                  <c:v>0.45996369934274672</c:v>
                </c:pt>
                <c:pt idx="33" formatCode="0%">
                  <c:v>0.45882555890354942</c:v>
                </c:pt>
                <c:pt idx="34" formatCode="0%">
                  <c:v>0.46178585453052362</c:v>
                </c:pt>
                <c:pt idx="35" formatCode="0%">
                  <c:v>0.51232470274381492</c:v>
                </c:pt>
                <c:pt idx="36" formatCode="0%">
                  <c:v>0.50916618820269044</c:v>
                </c:pt>
                <c:pt idx="37" formatCode="0%">
                  <c:v>0.50374014002257406</c:v>
                </c:pt>
                <c:pt idx="38" formatCode="0%">
                  <c:v>0.46316743354814938</c:v>
                </c:pt>
              </c:numCache>
            </c:numRef>
          </c:val>
          <c:smooth val="0"/>
          <c:extLst>
            <c:ext xmlns:c16="http://schemas.microsoft.com/office/drawing/2014/chart" uri="{C3380CC4-5D6E-409C-BE32-E72D297353CC}">
              <c16:uniqueId val="{00000001-8CBA-0048-B2BD-D1A1F92C5C54}"/>
            </c:ext>
          </c:extLst>
        </c:ser>
        <c:ser>
          <c:idx val="0"/>
          <c:order val="3"/>
          <c:tx>
            <c:v>Profit-making listed corporations (Compustat)</c:v>
          </c:tx>
          <c:spPr>
            <a:ln w="28575" cap="rnd">
              <a:solidFill>
                <a:schemeClr val="accent1"/>
              </a:solidFill>
              <a:round/>
            </a:ln>
            <a:effectLst/>
          </c:spPr>
          <c:marker>
            <c:symbol val="none"/>
          </c:marker>
          <c:cat>
            <c:numRef>
              <c:f>Data!$A$5:$A$43</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Data!$D$5:$D$43</c:f>
              <c:numCache>
                <c:formatCode>General</c:formatCode>
                <c:ptCount val="39"/>
                <c:pt idx="2" formatCode="0%">
                  <c:v>0.31957084381890832</c:v>
                </c:pt>
                <c:pt idx="3" formatCode="0%">
                  <c:v>0.35617295450282982</c:v>
                </c:pt>
                <c:pt idx="4" formatCode="0%">
                  <c:v>0.3410596785800063</c:v>
                </c:pt>
                <c:pt idx="5" formatCode="0%">
                  <c:v>0.33043176524948531</c:v>
                </c:pt>
                <c:pt idx="6" formatCode="0%">
                  <c:v>0.36743851558063928</c:v>
                </c:pt>
                <c:pt idx="7" formatCode="0%">
                  <c:v>0.3944483690228141</c:v>
                </c:pt>
                <c:pt idx="8" formatCode="0%">
                  <c:v>0.3829864252842155</c:v>
                </c:pt>
                <c:pt idx="9" formatCode="0%">
                  <c:v>0.36412131590288099</c:v>
                </c:pt>
                <c:pt idx="10" formatCode="0%">
                  <c:v>0.30499169720935532</c:v>
                </c:pt>
                <c:pt idx="11" formatCode="0%">
                  <c:v>0.2821575026327115</c:v>
                </c:pt>
                <c:pt idx="12" formatCode="0%">
                  <c:v>0.30607567558908833</c:v>
                </c:pt>
                <c:pt idx="13" formatCode="0%">
                  <c:v>0.3452698524181686</c:v>
                </c:pt>
                <c:pt idx="14" formatCode="0%">
                  <c:v>0.33419056679711662</c:v>
                </c:pt>
                <c:pt idx="15" formatCode="0%">
                  <c:v>0.33135118367226007</c:v>
                </c:pt>
                <c:pt idx="16" formatCode="0%">
                  <c:v>0.29113981977537851</c:v>
                </c:pt>
                <c:pt idx="17" formatCode="0%">
                  <c:v>0.31793814980478169</c:v>
                </c:pt>
                <c:pt idx="18" formatCode="0%">
                  <c:v>0.34388420842180711</c:v>
                </c:pt>
                <c:pt idx="19" formatCode="0%">
                  <c:v>0.38561842457619833</c:v>
                </c:pt>
                <c:pt idx="20" formatCode="0%">
                  <c:v>0.38009064714134178</c:v>
                </c:pt>
                <c:pt idx="21" formatCode="0%">
                  <c:v>0.35413451790903211</c:v>
                </c:pt>
                <c:pt idx="22" formatCode="0%">
                  <c:v>0.43077950972823081</c:v>
                </c:pt>
                <c:pt idx="23" formatCode="0%">
                  <c:v>0.42359398125859332</c:v>
                </c:pt>
                <c:pt idx="24" formatCode="0%">
                  <c:v>0.44301641606087189</c:v>
                </c:pt>
                <c:pt idx="25" formatCode="0%">
                  <c:v>0.5051459641919801</c:v>
                </c:pt>
                <c:pt idx="26" formatCode="0%">
                  <c:v>0.53791641127842826</c:v>
                </c:pt>
                <c:pt idx="27" formatCode="0%">
                  <c:v>0.45617419822267319</c:v>
                </c:pt>
                <c:pt idx="28" formatCode="0%">
                  <c:v>0.5000115867337972</c:v>
                </c:pt>
                <c:pt idx="29" formatCode="0%">
                  <c:v>0.50549199361457997</c:v>
                </c:pt>
                <c:pt idx="30" formatCode="0%">
                  <c:v>0.51533149276052947</c:v>
                </c:pt>
                <c:pt idx="31" formatCode="0%">
                  <c:v>0.46051698482522668</c:v>
                </c:pt>
                <c:pt idx="32" formatCode="0%">
                  <c:v>0.44166678921730501</c:v>
                </c:pt>
                <c:pt idx="33" formatCode="0%">
                  <c:v>0.43186754937689598</c:v>
                </c:pt>
                <c:pt idx="34" formatCode="0%">
                  <c:v>0.43429919016549978</c:v>
                </c:pt>
                <c:pt idx="35" formatCode="0%">
                  <c:v>0.48733351743041592</c:v>
                </c:pt>
                <c:pt idx="36" formatCode="0%">
                  <c:v>0.49043303817413109</c:v>
                </c:pt>
                <c:pt idx="37" formatCode="0%">
                  <c:v>0.4674942439781255</c:v>
                </c:pt>
                <c:pt idx="38" formatCode="0%">
                  <c:v>0.41504567843789658</c:v>
                </c:pt>
              </c:numCache>
            </c:numRef>
          </c:val>
          <c:smooth val="0"/>
          <c:extLst>
            <c:ext xmlns:c16="http://schemas.microsoft.com/office/drawing/2014/chart" uri="{C3380CC4-5D6E-409C-BE32-E72D297353CC}">
              <c16:uniqueId val="{00000001-1A98-104F-8C0C-59FFA4761134}"/>
            </c:ext>
          </c:extLst>
        </c:ser>
        <c:ser>
          <c:idx val="1"/>
          <c:order val="4"/>
          <c:tx>
            <c:v>Multinational corporations (BEA survey)</c:v>
          </c:tx>
          <c:spPr>
            <a:ln w="28575" cap="rnd">
              <a:solidFill>
                <a:schemeClr val="accent2"/>
              </a:solidFill>
              <a:round/>
            </a:ln>
            <a:effectLst/>
          </c:spPr>
          <c:marker>
            <c:symbol val="none"/>
          </c:marker>
          <c:val>
            <c:numRef>
              <c:f>Data!$T$5:$T$43</c:f>
              <c:numCache>
                <c:formatCode>0%</c:formatCode>
                <c:ptCount val="39"/>
                <c:pt idx="0">
                  <c:v>0.35190978670406864</c:v>
                </c:pt>
                <c:pt idx="7">
                  <c:v>0.36445651910188609</c:v>
                </c:pt>
                <c:pt idx="12">
                  <c:v>0.30328880741051129</c:v>
                </c:pt>
                <c:pt idx="13">
                  <c:v>0.32812818864531212</c:v>
                </c:pt>
                <c:pt idx="14">
                  <c:v>0.30281490938158895</c:v>
                </c:pt>
                <c:pt idx="15">
                  <c:v>0.31480239396482779</c:v>
                </c:pt>
                <c:pt idx="16">
                  <c:v>0.27260818786819985</c:v>
                </c:pt>
                <c:pt idx="17">
                  <c:v>0.28512904186802451</c:v>
                </c:pt>
                <c:pt idx="18">
                  <c:v>0.30872254368204299</c:v>
                </c:pt>
                <c:pt idx="19">
                  <c:v>0.38926812867493205</c:v>
                </c:pt>
                <c:pt idx="20">
                  <c:v>0.370437219866875</c:v>
                </c:pt>
                <c:pt idx="21">
                  <c:v>0.35334974391764967</c:v>
                </c:pt>
                <c:pt idx="22">
                  <c:v>0.38406532449677161</c:v>
                </c:pt>
                <c:pt idx="23">
                  <c:v>0.40098609401210977</c:v>
                </c:pt>
                <c:pt idx="24">
                  <c:v>0.39262507237688549</c:v>
                </c:pt>
                <c:pt idx="25">
                  <c:v>0.43518974313896208</c:v>
                </c:pt>
                <c:pt idx="26">
                  <c:v>0.53173617079761704</c:v>
                </c:pt>
                <c:pt idx="27">
                  <c:v>0.48975551784470506</c:v>
                </c:pt>
                <c:pt idx="28">
                  <c:v>0.44874493352671813</c:v>
                </c:pt>
                <c:pt idx="29">
                  <c:v>0.42386625913037485</c:v>
                </c:pt>
                <c:pt idx="30">
                  <c:v>0.41454425415117763</c:v>
                </c:pt>
                <c:pt idx="31">
                  <c:v>0.37224245206353612</c:v>
                </c:pt>
                <c:pt idx="32">
                  <c:v>0.34385077237488826</c:v>
                </c:pt>
                <c:pt idx="33">
                  <c:v>0.33426531324708514</c:v>
                </c:pt>
                <c:pt idx="34">
                  <c:v>0.33709524605881885</c:v>
                </c:pt>
                <c:pt idx="35">
                  <c:v>0.39277855866770917</c:v>
                </c:pt>
                <c:pt idx="36">
                  <c:v>0.35889230448787318</c:v>
                </c:pt>
                <c:pt idx="37">
                  <c:v>0.37753660896268243</c:v>
                </c:pt>
                <c:pt idx="38">
                  <c:v>0.45169941626685123</c:v>
                </c:pt>
              </c:numCache>
            </c:numRef>
          </c:val>
          <c:smooth val="0"/>
          <c:extLst>
            <c:ext xmlns:c16="http://schemas.microsoft.com/office/drawing/2014/chart" uri="{C3380CC4-5D6E-409C-BE32-E72D297353CC}">
              <c16:uniqueId val="{00000002-1A98-104F-8C0C-59FFA4761134}"/>
            </c:ext>
          </c:extLst>
        </c:ser>
        <c:ser>
          <c:idx val="3"/>
          <c:order val="5"/>
          <c:tx>
            <c:v>Country-by-Country data (IRS)</c:v>
          </c:tx>
          <c:spPr>
            <a:ln w="28575" cap="rnd">
              <a:solidFill>
                <a:schemeClr val="accent4"/>
              </a:solidFill>
              <a:round/>
            </a:ln>
            <a:effectLst/>
          </c:spPr>
          <c:marker>
            <c:symbol val="none"/>
          </c:marker>
          <c:val>
            <c:numRef>
              <c:f>Data!$AT$5:$AT$43</c:f>
              <c:numCache>
                <c:formatCode>0%</c:formatCode>
                <c:ptCount val="39"/>
                <c:pt idx="35">
                  <c:v>0.43791329904481996</c:v>
                </c:pt>
                <c:pt idx="36">
                  <c:v>0.43461030383091148</c:v>
                </c:pt>
                <c:pt idx="37">
                  <c:v>0.39788499669530736</c:v>
                </c:pt>
              </c:numCache>
            </c:numRef>
          </c:val>
          <c:smooth val="0"/>
          <c:extLst>
            <c:ext xmlns:c16="http://schemas.microsoft.com/office/drawing/2014/chart" uri="{C3380CC4-5D6E-409C-BE32-E72D297353CC}">
              <c16:uniqueId val="{00000004-1A98-104F-8C0C-59FFA4761134}"/>
            </c:ext>
          </c:extLst>
        </c:ser>
        <c:dLbls>
          <c:showLegendKey val="0"/>
          <c:showVal val="0"/>
          <c:showCatName val="0"/>
          <c:showSerName val="0"/>
          <c:showPercent val="0"/>
          <c:showBubbleSize val="0"/>
        </c:dLbls>
        <c:smooth val="0"/>
        <c:axId val="577086672"/>
        <c:axId val="577088320"/>
      </c:lineChart>
      <c:catAx>
        <c:axId val="577086672"/>
        <c:scaling>
          <c:orientation val="minMax"/>
        </c:scaling>
        <c:delete val="0"/>
        <c:axPos val="b"/>
        <c:numFmt formatCode="General" sourceLinked="1"/>
        <c:majorTickMark val="out"/>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577088320"/>
        <c:crosses val="autoZero"/>
        <c:auto val="1"/>
        <c:lblAlgn val="ctr"/>
        <c:lblOffset val="100"/>
        <c:tickMarkSkip val="2"/>
        <c:noMultiLvlLbl val="0"/>
      </c:catAx>
      <c:valAx>
        <c:axId val="577088320"/>
        <c:scaling>
          <c:orientation val="minMax"/>
          <c:max val="0.63000000000000012"/>
          <c:min val="0"/>
        </c:scaling>
        <c:delete val="0"/>
        <c:axPos val="l"/>
        <c:title>
          <c:tx>
            <c:rich>
              <a:bodyPr rot="-54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r>
                  <a:rPr lang="en-US"/>
                  <a:t>% of global profits of US corporations</a:t>
                </a:r>
              </a:p>
            </c:rich>
          </c:tx>
          <c:layout>
            <c:manualLayout>
              <c:xMode val="edge"/>
              <c:yMode val="edge"/>
              <c:x val="1.329129246838289E-3"/>
              <c:y val="8.2464010180545624E-2"/>
            </c:manualLayout>
          </c:layout>
          <c:overlay val="0"/>
          <c:spPr>
            <a:noFill/>
            <a:ln>
              <a:noFill/>
            </a:ln>
            <a:effectLst/>
          </c:spPr>
          <c:txPr>
            <a:bodyPr rot="-54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title>
        <c:numFmt formatCode="0%" sourceLinked="0"/>
        <c:majorTickMark val="none"/>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2200" b="0" i="0" u="none" strike="noStrike" kern="1200" baseline="0">
                <a:solidFill>
                  <a:schemeClr val="tx1"/>
                </a:solidFill>
                <a:latin typeface="Palatino" pitchFamily="2" charset="77"/>
                <a:ea typeface="Palatino" pitchFamily="2" charset="77"/>
                <a:cs typeface="+mn-cs"/>
              </a:defRPr>
            </a:pPr>
            <a:endParaRPr lang="en-US"/>
          </a:p>
        </c:txPr>
        <c:crossAx val="577086672"/>
        <c:crosses val="autoZero"/>
        <c:crossBetween val="midCat"/>
      </c:valAx>
      <c:spPr>
        <a:noFill/>
        <a:ln>
          <a:noFill/>
        </a:ln>
        <a:effectLst/>
      </c:spPr>
    </c:plotArea>
    <c:legend>
      <c:legendPos val="r"/>
      <c:layout>
        <c:manualLayout>
          <c:xMode val="edge"/>
          <c:yMode val="edge"/>
          <c:x val="4.5989093969403164E-2"/>
          <c:y val="0.65170158275670087"/>
          <c:w val="0.86188376892127139"/>
          <c:h val="0.2169852859301678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Palatino" pitchFamily="2" charset="77"/>
              <a:ea typeface="Palatino" pitchFamily="2" charset="77"/>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200">
          <a:solidFill>
            <a:schemeClr val="tx1"/>
          </a:solidFill>
          <a:latin typeface="Palatino" pitchFamily="2" charset="77"/>
          <a:ea typeface="Palatino" pitchFamily="2" charset="77"/>
        </a:defRPr>
      </a:pPr>
      <a:endParaRPr lang="en-US"/>
    </a:p>
  </c:txPr>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775200694055502"/>
          <c:y val="3.9577777678845703E-2"/>
          <c:w val="0.83279390285419341"/>
          <c:h val="0.80916983924716901"/>
        </c:manualLayout>
      </c:layout>
      <c:areaChart>
        <c:grouping val="stacked"/>
        <c:varyColors val="0"/>
        <c:ser>
          <c:idx val="0"/>
          <c:order val="0"/>
          <c:spPr>
            <a:solidFill>
              <a:srgbClr val="FFFF32"/>
            </a:solidFill>
            <a:ln>
              <a:solidFill>
                <a:schemeClr val="tx1"/>
              </a:solidFill>
            </a:ln>
            <a:effectLst/>
          </c:spPr>
          <c:cat>
            <c:numRef>
              <c:f>WrightZucman!$A$26:$A$64</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WrightZucman!$C$26:$C$64</c:f>
              <c:numCache>
                <c:formatCode>0%</c:formatCode>
                <c:ptCount val="39"/>
                <c:pt idx="0">
                  <c:v>1.4092393840410639E-2</c:v>
                </c:pt>
                <c:pt idx="1">
                  <c:v>1.6455870696488264E-2</c:v>
                </c:pt>
                <c:pt idx="2">
                  <c:v>1.7157927396835245E-2</c:v>
                </c:pt>
                <c:pt idx="3">
                  <c:v>1.7740623155342129E-2</c:v>
                </c:pt>
                <c:pt idx="4">
                  <c:v>1.5330021291696239E-2</c:v>
                </c:pt>
                <c:pt idx="5">
                  <c:v>2.8148274006739728E-2</c:v>
                </c:pt>
                <c:pt idx="6">
                  <c:v>2.2911034422614523E-2</c:v>
                </c:pt>
                <c:pt idx="7">
                  <c:v>3.1298922821693109E-2</c:v>
                </c:pt>
                <c:pt idx="8">
                  <c:v>3.7268696423292932E-2</c:v>
                </c:pt>
                <c:pt idx="9">
                  <c:v>4.111812935703469E-2</c:v>
                </c:pt>
                <c:pt idx="10">
                  <c:v>4.9894163894768674E-2</c:v>
                </c:pt>
                <c:pt idx="11">
                  <c:v>4.5089243362651958E-2</c:v>
                </c:pt>
                <c:pt idx="12">
                  <c:v>4.5535924617196702E-2</c:v>
                </c:pt>
                <c:pt idx="13">
                  <c:v>4.5560584958217271E-2</c:v>
                </c:pt>
                <c:pt idx="14">
                  <c:v>4.3526982738108941E-2</c:v>
                </c:pt>
                <c:pt idx="15">
                  <c:v>5.6301420184783436E-2</c:v>
                </c:pt>
                <c:pt idx="16">
                  <c:v>8.7078018296611256E-2</c:v>
                </c:pt>
                <c:pt idx="17">
                  <c:v>7.9411930457324809E-2</c:v>
                </c:pt>
                <c:pt idx="18">
                  <c:v>7.2504429148151375E-2</c:v>
                </c:pt>
                <c:pt idx="19">
                  <c:v>9.0043768325330384E-2</c:v>
                </c:pt>
                <c:pt idx="20">
                  <c:v>0.11838739852555423</c:v>
                </c:pt>
                <c:pt idx="21">
                  <c:v>0.11267415187733913</c:v>
                </c:pt>
                <c:pt idx="22">
                  <c:v>0.11435947179465379</c:v>
                </c:pt>
                <c:pt idx="23">
                  <c:v>9.4658655059686889E-2</c:v>
                </c:pt>
                <c:pt idx="24">
                  <c:v>0.10365524738431713</c:v>
                </c:pt>
                <c:pt idx="25">
                  <c:v>0.11278751042783935</c:v>
                </c:pt>
                <c:pt idx="26">
                  <c:v>8.5540054947256861E-2</c:v>
                </c:pt>
                <c:pt idx="27">
                  <c:v>0.11080844488924674</c:v>
                </c:pt>
                <c:pt idx="28">
                  <c:v>0.11167756474195574</c:v>
                </c:pt>
                <c:pt idx="29">
                  <c:v>0.1120180791604882</c:v>
                </c:pt>
                <c:pt idx="30">
                  <c:v>0.1279730575288012</c:v>
                </c:pt>
                <c:pt idx="31">
                  <c:v>0.12066418356698702</c:v>
                </c:pt>
                <c:pt idx="32">
                  <c:v>0.11109547368762923</c:v>
                </c:pt>
                <c:pt idx="33">
                  <c:v>0.15391854249792969</c:v>
                </c:pt>
                <c:pt idx="34">
                  <c:v>0.17718215116680872</c:v>
                </c:pt>
                <c:pt idx="35">
                  <c:v>0.15082223991477878</c:v>
                </c:pt>
                <c:pt idx="36">
                  <c:v>0.17905446099026848</c:v>
                </c:pt>
                <c:pt idx="37">
                  <c:v>0.16256726573709937</c:v>
                </c:pt>
                <c:pt idx="38">
                  <c:v>0.20551122592831794</c:v>
                </c:pt>
              </c:numCache>
            </c:numRef>
          </c:val>
          <c:extLst>
            <c:ext xmlns:c16="http://schemas.microsoft.com/office/drawing/2014/chart" uri="{C3380CC4-5D6E-409C-BE32-E72D297353CC}">
              <c16:uniqueId val="{00000000-AEB0-774A-969C-B0AF159D6D30}"/>
            </c:ext>
          </c:extLst>
        </c:ser>
        <c:ser>
          <c:idx val="2"/>
          <c:order val="1"/>
          <c:spPr>
            <a:solidFill>
              <a:srgbClr val="0294A5"/>
            </a:solidFill>
            <a:ln>
              <a:solidFill>
                <a:schemeClr val="tx1"/>
              </a:solidFill>
            </a:ln>
            <a:effectLst/>
          </c:spPr>
          <c:cat>
            <c:numRef>
              <c:f>WrightZucman!$A$26:$A$64</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WrightZucman!$E$26:$E$64</c:f>
              <c:numCache>
                <c:formatCode>0%</c:formatCode>
                <c:ptCount val="39"/>
                <c:pt idx="0">
                  <c:v>2.7251516565562295E-2</c:v>
                </c:pt>
                <c:pt idx="1">
                  <c:v>2.1384016266326637E-2</c:v>
                </c:pt>
                <c:pt idx="2">
                  <c:v>2.3270245113248527E-2</c:v>
                </c:pt>
                <c:pt idx="3">
                  <c:v>2.7616023994511893E-2</c:v>
                </c:pt>
                <c:pt idx="4">
                  <c:v>2.8548616039744498E-2</c:v>
                </c:pt>
                <c:pt idx="5">
                  <c:v>3.0286296831195311E-2</c:v>
                </c:pt>
                <c:pt idx="6">
                  <c:v>2.5577136307573474E-2</c:v>
                </c:pt>
                <c:pt idx="7">
                  <c:v>2.4966703273593942E-2</c:v>
                </c:pt>
                <c:pt idx="8">
                  <c:v>3.0493644694058526E-2</c:v>
                </c:pt>
                <c:pt idx="9">
                  <c:v>3.8116806046302236E-2</c:v>
                </c:pt>
                <c:pt idx="10">
                  <c:v>2.162800408944951E-2</c:v>
                </c:pt>
                <c:pt idx="11">
                  <c:v>2.7037282990228631E-2</c:v>
                </c:pt>
                <c:pt idx="12">
                  <c:v>2.7597173144876325E-2</c:v>
                </c:pt>
                <c:pt idx="13">
                  <c:v>3.1267409470752086E-2</c:v>
                </c:pt>
                <c:pt idx="14">
                  <c:v>2.2688372592814324E-2</c:v>
                </c:pt>
                <c:pt idx="15">
                  <c:v>2.3233086354720434E-2</c:v>
                </c:pt>
                <c:pt idx="16">
                  <c:v>2.7686509470429069E-2</c:v>
                </c:pt>
                <c:pt idx="17">
                  <c:v>2.5035926625151455E-2</c:v>
                </c:pt>
                <c:pt idx="18">
                  <c:v>2.1718799918677936E-2</c:v>
                </c:pt>
                <c:pt idx="19">
                  <c:v>2.4589583421861499E-2</c:v>
                </c:pt>
                <c:pt idx="20">
                  <c:v>2.8167539951985662E-2</c:v>
                </c:pt>
                <c:pt idx="21">
                  <c:v>2.5319328745623565E-2</c:v>
                </c:pt>
                <c:pt idx="22">
                  <c:v>3.4216638391114648E-2</c:v>
                </c:pt>
                <c:pt idx="23">
                  <c:v>3.413449403131176E-2</c:v>
                </c:pt>
                <c:pt idx="24">
                  <c:v>3.8425415045413351E-2</c:v>
                </c:pt>
                <c:pt idx="25">
                  <c:v>3.6980097723751638E-2</c:v>
                </c:pt>
                <c:pt idx="26">
                  <c:v>4.0998935786516102E-2</c:v>
                </c:pt>
                <c:pt idx="27">
                  <c:v>5.6769982868422969E-2</c:v>
                </c:pt>
                <c:pt idx="28">
                  <c:v>4.6977984366749027E-2</c:v>
                </c:pt>
                <c:pt idx="29">
                  <c:v>4.7832069122847043E-2</c:v>
                </c:pt>
                <c:pt idx="30">
                  <c:v>4.3691339394162462E-2</c:v>
                </c:pt>
                <c:pt idx="31">
                  <c:v>6.7893755642668141E-2</c:v>
                </c:pt>
                <c:pt idx="32">
                  <c:v>6.8897886421784613E-2</c:v>
                </c:pt>
                <c:pt idx="33">
                  <c:v>8.2946456205509125E-2</c:v>
                </c:pt>
                <c:pt idx="34">
                  <c:v>9.7954341265636152E-2</c:v>
                </c:pt>
                <c:pt idx="35">
                  <c:v>6.8464626331349421E-2</c:v>
                </c:pt>
                <c:pt idx="36">
                  <c:v>7.2433674377464119E-2</c:v>
                </c:pt>
                <c:pt idx="37">
                  <c:v>7.9536534422243843E-2</c:v>
                </c:pt>
                <c:pt idx="38">
                  <c:v>5.7758147739189011E-2</c:v>
                </c:pt>
              </c:numCache>
            </c:numRef>
          </c:val>
          <c:extLst>
            <c:ext xmlns:c16="http://schemas.microsoft.com/office/drawing/2014/chart" uri="{C3380CC4-5D6E-409C-BE32-E72D297353CC}">
              <c16:uniqueId val="{00000001-AEB0-774A-969C-B0AF159D6D30}"/>
            </c:ext>
          </c:extLst>
        </c:ser>
        <c:ser>
          <c:idx val="3"/>
          <c:order val="2"/>
          <c:spPr>
            <a:solidFill>
              <a:srgbClr val="8CD0C8"/>
            </a:solidFill>
            <a:ln>
              <a:solidFill>
                <a:schemeClr val="tx1"/>
              </a:solidFill>
            </a:ln>
            <a:effectLst/>
          </c:spPr>
          <c:cat>
            <c:numRef>
              <c:f>WrightZucman!$A$26:$A$64</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WrightZucman!$F$26:$F$64</c:f>
              <c:numCache>
                <c:formatCode>0%</c:formatCode>
                <c:ptCount val="39"/>
                <c:pt idx="0">
                  <c:v>7.8002799813345777E-2</c:v>
                </c:pt>
                <c:pt idx="1">
                  <c:v>6.2739083985250022E-2</c:v>
                </c:pt>
                <c:pt idx="2">
                  <c:v>5.6934533043748063E-2</c:v>
                </c:pt>
                <c:pt idx="3">
                  <c:v>5.7545348670250955E-2</c:v>
                </c:pt>
                <c:pt idx="4">
                  <c:v>4.6611071682044002E-2</c:v>
                </c:pt>
                <c:pt idx="5">
                  <c:v>4.7362161243734602E-2</c:v>
                </c:pt>
                <c:pt idx="6">
                  <c:v>2.232548868152541E-2</c:v>
                </c:pt>
                <c:pt idx="7">
                  <c:v>4.8227679510246042E-2</c:v>
                </c:pt>
                <c:pt idx="8">
                  <c:v>4.6621342004138339E-2</c:v>
                </c:pt>
                <c:pt idx="9">
                  <c:v>4.6875213162166952E-2</c:v>
                </c:pt>
                <c:pt idx="10">
                  <c:v>4.6481489481187091E-2</c:v>
                </c:pt>
                <c:pt idx="11">
                  <c:v>4.3828858742054833E-2</c:v>
                </c:pt>
                <c:pt idx="12">
                  <c:v>3.5700824499411074E-2</c:v>
                </c:pt>
                <c:pt idx="13">
                  <c:v>3.794394150417827E-2</c:v>
                </c:pt>
                <c:pt idx="14">
                  <c:v>3.7624628704321997E-2</c:v>
                </c:pt>
                <c:pt idx="15">
                  <c:v>5.5545929011554161E-2</c:v>
                </c:pt>
                <c:pt idx="16">
                  <c:v>6.4134776446334238E-2</c:v>
                </c:pt>
                <c:pt idx="17">
                  <c:v>5.6376623742568119E-2</c:v>
                </c:pt>
                <c:pt idx="18">
                  <c:v>5.4898202201504459E-2</c:v>
                </c:pt>
                <c:pt idx="19">
                  <c:v>7.0043485035198805E-2</c:v>
                </c:pt>
                <c:pt idx="20">
                  <c:v>6.1143055255738502E-2</c:v>
                </c:pt>
                <c:pt idx="21">
                  <c:v>5.7824459736810337E-2</c:v>
                </c:pt>
                <c:pt idx="22">
                  <c:v>6.1728299640984224E-2</c:v>
                </c:pt>
                <c:pt idx="23">
                  <c:v>5.6279281664214344E-2</c:v>
                </c:pt>
                <c:pt idx="24">
                  <c:v>6.6563344569155067E-2</c:v>
                </c:pt>
                <c:pt idx="25">
                  <c:v>6.3284471457514008E-2</c:v>
                </c:pt>
                <c:pt idx="26">
                  <c:v>7.0703405037870856E-2</c:v>
                </c:pt>
                <c:pt idx="27">
                  <c:v>6.4013905924315051E-2</c:v>
                </c:pt>
                <c:pt idx="28">
                  <c:v>6.01686756937065E-2</c:v>
                </c:pt>
                <c:pt idx="29">
                  <c:v>4.3961018592448955E-2</c:v>
                </c:pt>
                <c:pt idx="30">
                  <c:v>4.9703706430122563E-2</c:v>
                </c:pt>
                <c:pt idx="31">
                  <c:v>4.7201041182195161E-2</c:v>
                </c:pt>
                <c:pt idx="32">
                  <c:v>6.5559897947768606E-2</c:v>
                </c:pt>
                <c:pt idx="33">
                  <c:v>6.4859427672798148E-2</c:v>
                </c:pt>
                <c:pt idx="34">
                  <c:v>4.4066898569421087E-2</c:v>
                </c:pt>
                <c:pt idx="35">
                  <c:v>6.4678666674090113E-2</c:v>
                </c:pt>
                <c:pt idx="36">
                  <c:v>7.126869495337386E-2</c:v>
                </c:pt>
                <c:pt idx="37">
                  <c:v>6.1284494183189882E-2</c:v>
                </c:pt>
                <c:pt idx="38">
                  <c:v>4.7207001997726802E-2</c:v>
                </c:pt>
              </c:numCache>
            </c:numRef>
          </c:val>
          <c:extLst>
            <c:ext xmlns:c16="http://schemas.microsoft.com/office/drawing/2014/chart" uri="{C3380CC4-5D6E-409C-BE32-E72D297353CC}">
              <c16:uniqueId val="{00000002-AEB0-774A-969C-B0AF159D6D30}"/>
            </c:ext>
          </c:extLst>
        </c:ser>
        <c:ser>
          <c:idx val="4"/>
          <c:order val="3"/>
          <c:spPr>
            <a:solidFill>
              <a:srgbClr val="DD9593"/>
            </a:solidFill>
            <a:ln>
              <a:solidFill>
                <a:schemeClr val="tx1"/>
              </a:solidFill>
            </a:ln>
            <a:effectLst/>
          </c:spPr>
          <c:cat>
            <c:numRef>
              <c:f>WrightZucman!$A$26:$A$64</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WrightZucman!$G$26:$G$64</c:f>
              <c:numCache>
                <c:formatCode>0%</c:formatCode>
                <c:ptCount val="39"/>
                <c:pt idx="0">
                  <c:v>1.1684554363042464E-2</c:v>
                </c:pt>
                <c:pt idx="1">
                  <c:v>1.2578833097839198E-2</c:v>
                </c:pt>
                <c:pt idx="2">
                  <c:v>1.1371393112007447E-2</c:v>
                </c:pt>
                <c:pt idx="3">
                  <c:v>8.1523906766005644E-3</c:v>
                </c:pt>
                <c:pt idx="4">
                  <c:v>1.3005677785663592E-2</c:v>
                </c:pt>
                <c:pt idx="5">
                  <c:v>1.3521932432815111E-2</c:v>
                </c:pt>
                <c:pt idx="6">
                  <c:v>1.4277349346555869E-2</c:v>
                </c:pt>
                <c:pt idx="7">
                  <c:v>1.4381849195037036E-2</c:v>
                </c:pt>
                <c:pt idx="8">
                  <c:v>2.5314809340821757E-2</c:v>
                </c:pt>
                <c:pt idx="9">
                  <c:v>2.3560387989249806E-2</c:v>
                </c:pt>
                <c:pt idx="10">
                  <c:v>2.168560196984751E-2</c:v>
                </c:pt>
                <c:pt idx="11">
                  <c:v>3.4423407917383818E-2</c:v>
                </c:pt>
                <c:pt idx="12">
                  <c:v>3.3604240282685514E-2</c:v>
                </c:pt>
                <c:pt idx="13">
                  <c:v>3.4479456824512533E-2</c:v>
                </c:pt>
                <c:pt idx="14">
                  <c:v>4.5261614742836964E-2</c:v>
                </c:pt>
                <c:pt idx="15">
                  <c:v>3.5189254004449777E-2</c:v>
                </c:pt>
                <c:pt idx="16">
                  <c:v>2.4843770132714858E-2</c:v>
                </c:pt>
                <c:pt idx="17">
                  <c:v>3.4426160218659303E-2</c:v>
                </c:pt>
                <c:pt idx="18">
                  <c:v>4.8816473526763673E-2</c:v>
                </c:pt>
                <c:pt idx="19">
                  <c:v>3.6480686695278972E-2</c:v>
                </c:pt>
                <c:pt idx="20">
                  <c:v>3.3322212846125167E-2</c:v>
                </c:pt>
                <c:pt idx="21">
                  <c:v>3.2056018350839065E-2</c:v>
                </c:pt>
                <c:pt idx="22">
                  <c:v>3.3126838071903635E-2</c:v>
                </c:pt>
                <c:pt idx="23">
                  <c:v>2.384089244048242E-2</c:v>
                </c:pt>
                <c:pt idx="24">
                  <c:v>3.1560702188657752E-2</c:v>
                </c:pt>
                <c:pt idx="25">
                  <c:v>3.0606602312000953E-2</c:v>
                </c:pt>
                <c:pt idx="26">
                  <c:v>2.9363831880986201E-2</c:v>
                </c:pt>
                <c:pt idx="27">
                  <c:v>3.4067507944988321E-2</c:v>
                </c:pt>
                <c:pt idx="28">
                  <c:v>3.4256681726220359E-2</c:v>
                </c:pt>
                <c:pt idx="29">
                  <c:v>4.2629676628265084E-2</c:v>
                </c:pt>
                <c:pt idx="30">
                  <c:v>4.3996834627700689E-2</c:v>
                </c:pt>
                <c:pt idx="31">
                  <c:v>5.1666321429827682E-2</c:v>
                </c:pt>
                <c:pt idx="32">
                  <c:v>5.2144792918412342E-2</c:v>
                </c:pt>
                <c:pt idx="33">
                  <c:v>5.9587442595799144E-2</c:v>
                </c:pt>
                <c:pt idx="34">
                  <c:v>6.2014789559768711E-2</c:v>
                </c:pt>
                <c:pt idx="35">
                  <c:v>6.4686090124398465E-2</c:v>
                </c:pt>
                <c:pt idx="36">
                  <c:v>9.4381311428843664E-2</c:v>
                </c:pt>
                <c:pt idx="37">
                  <c:v>8.7327516849467643E-2</c:v>
                </c:pt>
                <c:pt idx="38">
                  <c:v>0.10358549136440343</c:v>
                </c:pt>
              </c:numCache>
            </c:numRef>
          </c:val>
          <c:extLst>
            <c:ext xmlns:c16="http://schemas.microsoft.com/office/drawing/2014/chart" uri="{C3380CC4-5D6E-409C-BE32-E72D297353CC}">
              <c16:uniqueId val="{00000003-AEB0-774A-969C-B0AF159D6D30}"/>
            </c:ext>
          </c:extLst>
        </c:ser>
        <c:ser>
          <c:idx val="1"/>
          <c:order val="4"/>
          <c:spPr>
            <a:solidFill>
              <a:srgbClr val="80CE8F"/>
            </a:solidFill>
            <a:ln>
              <a:solidFill>
                <a:schemeClr val="tx1"/>
              </a:solidFill>
            </a:ln>
            <a:effectLst/>
          </c:spPr>
          <c:cat>
            <c:numRef>
              <c:f>WrightZucman!$A$26:$A$64</c:f>
              <c:numCache>
                <c:formatCode>General</c:formatCode>
                <c:ptCount val="39"/>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2020</c:v>
                </c:pt>
              </c:numCache>
            </c:numRef>
          </c:cat>
          <c:val>
            <c:numRef>
              <c:f>WrightZucman!$D$26:$D$64</c:f>
              <c:numCache>
                <c:formatCode>0%</c:formatCode>
                <c:ptCount val="39"/>
                <c:pt idx="0">
                  <c:v>1.8777414839010732E-2</c:v>
                </c:pt>
                <c:pt idx="1">
                  <c:v>2.6846331460867769E-2</c:v>
                </c:pt>
                <c:pt idx="2">
                  <c:v>2.451132485262178E-2</c:v>
                </c:pt>
                <c:pt idx="3">
                  <c:v>2.9354987954882658E-2</c:v>
                </c:pt>
                <c:pt idx="4">
                  <c:v>4.3417317246273956E-2</c:v>
                </c:pt>
                <c:pt idx="5">
                  <c:v>5.1779797808172628E-2</c:v>
                </c:pt>
                <c:pt idx="6">
                  <c:v>5.4729839161797501E-2</c:v>
                </c:pt>
                <c:pt idx="7">
                  <c:v>4.9057176904923241E-2</c:v>
                </c:pt>
                <c:pt idx="8">
                  <c:v>5.5879396984924626E-2</c:v>
                </c:pt>
                <c:pt idx="9">
                  <c:v>5.8607658831393843E-2</c:v>
                </c:pt>
                <c:pt idx="10">
                  <c:v>5.4530793266807778E-2</c:v>
                </c:pt>
                <c:pt idx="11">
                  <c:v>4.2039925732175042E-2</c:v>
                </c:pt>
                <c:pt idx="12">
                  <c:v>4.685512367491166E-2</c:v>
                </c:pt>
                <c:pt idx="13">
                  <c:v>5.9235724233983288E-2</c:v>
                </c:pt>
                <c:pt idx="14">
                  <c:v>4.8193603352598494E-2</c:v>
                </c:pt>
                <c:pt idx="15">
                  <c:v>5.4499331147722783E-2</c:v>
                </c:pt>
                <c:pt idx="16">
                  <c:v>5.963310140445819E-2</c:v>
                </c:pt>
                <c:pt idx="17">
                  <c:v>4.5422525289526332E-2</c:v>
                </c:pt>
                <c:pt idx="18">
                  <c:v>4.3873253753884581E-2</c:v>
                </c:pt>
                <c:pt idx="19">
                  <c:v>4.8704655873312651E-2</c:v>
                </c:pt>
                <c:pt idx="20">
                  <c:v>3.2654983613635023E-2</c:v>
                </c:pt>
                <c:pt idx="21">
                  <c:v>2.9713871785584933E-2</c:v>
                </c:pt>
                <c:pt idx="22">
                  <c:v>3.2392575445484864E-2</c:v>
                </c:pt>
                <c:pt idx="23">
                  <c:v>2.9535618200959176E-2</c:v>
                </c:pt>
                <c:pt idx="24">
                  <c:v>1.7146721942163358E-2</c:v>
                </c:pt>
                <c:pt idx="25">
                  <c:v>1.7831009414849244E-2</c:v>
                </c:pt>
                <c:pt idx="26">
                  <c:v>7.5763985056483468E-3</c:v>
                </c:pt>
                <c:pt idx="27">
                  <c:v>3.6886818718818902E-2</c:v>
                </c:pt>
                <c:pt idx="28">
                  <c:v>1.2225836804853826E-2</c:v>
                </c:pt>
                <c:pt idx="29">
                  <c:v>2.9155854340139158E-2</c:v>
                </c:pt>
                <c:pt idx="30">
                  <c:v>3.6037395561117451E-2</c:v>
                </c:pt>
                <c:pt idx="31">
                  <c:v>1.1549149349456545E-2</c:v>
                </c:pt>
                <c:pt idx="32">
                  <c:v>3.9963841465394986E-2</c:v>
                </c:pt>
                <c:pt idx="33">
                  <c:v>6.8646641070039399E-2</c:v>
                </c:pt>
                <c:pt idx="34">
                  <c:v>9.92927733880071E-2</c:v>
                </c:pt>
                <c:pt idx="35">
                  <c:v>0.10906162020514705</c:v>
                </c:pt>
                <c:pt idx="36">
                  <c:v>5.6533862607935886E-2</c:v>
                </c:pt>
                <c:pt idx="37">
                  <c:v>6.1564421441253445E-2</c:v>
                </c:pt>
                <c:pt idx="38">
                  <c:v>6.7341680729459646E-2</c:v>
                </c:pt>
              </c:numCache>
            </c:numRef>
          </c:val>
          <c:extLst>
            <c:ext xmlns:c16="http://schemas.microsoft.com/office/drawing/2014/chart" uri="{C3380CC4-5D6E-409C-BE32-E72D297353CC}">
              <c16:uniqueId val="{00000004-AEB0-774A-969C-B0AF159D6D30}"/>
            </c:ext>
          </c:extLst>
        </c:ser>
        <c:dLbls>
          <c:showLegendKey val="0"/>
          <c:showVal val="0"/>
          <c:showCatName val="0"/>
          <c:showSerName val="0"/>
          <c:showPercent val="0"/>
          <c:showBubbleSize val="0"/>
        </c:dLbls>
        <c:axId val="-2045299224"/>
        <c:axId val="-2045296072"/>
      </c:areaChart>
      <c:catAx>
        <c:axId val="-2045299224"/>
        <c:scaling>
          <c:orientation val="minMax"/>
        </c:scaling>
        <c:delete val="0"/>
        <c:axPos val="b"/>
        <c:numFmt formatCode="General" sourceLinked="1"/>
        <c:majorTickMark val="out"/>
        <c:minorTickMark val="none"/>
        <c:tickLblPos val="nextTo"/>
        <c:txPr>
          <a:bodyPr rot="-5400000"/>
          <a:lstStyle/>
          <a:p>
            <a:pPr>
              <a:defRPr sz="2200">
                <a:latin typeface="Palatino"/>
                <a:cs typeface="Palatino"/>
              </a:defRPr>
            </a:pPr>
            <a:endParaRPr lang="en-US"/>
          </a:p>
        </c:txPr>
        <c:crossAx val="-2045296072"/>
        <c:crosses val="autoZero"/>
        <c:auto val="1"/>
        <c:lblAlgn val="ctr"/>
        <c:lblOffset val="100"/>
        <c:tickLblSkip val="2"/>
        <c:tickMarkSkip val="2"/>
        <c:noMultiLvlLbl val="0"/>
      </c:catAx>
      <c:valAx>
        <c:axId val="-2045296072"/>
        <c:scaling>
          <c:orientation val="minMax"/>
          <c:max val="0.5"/>
          <c:min val="0"/>
        </c:scaling>
        <c:delete val="0"/>
        <c:axPos val="l"/>
        <c:title>
          <c:tx>
            <c:rich>
              <a:bodyPr/>
              <a:lstStyle/>
              <a:p>
                <a:pPr>
                  <a:defRPr/>
                </a:pPr>
                <a:r>
                  <a:rPr lang="en-US" sz="2100" b="0">
                    <a:latin typeface="Palatino" pitchFamily="2" charset="77"/>
                    <a:ea typeface="Palatino" pitchFamily="2" charset="77"/>
                  </a:rPr>
                  <a:t>% oforeign profits of US</a:t>
                </a:r>
                <a:r>
                  <a:rPr lang="en-US" sz="2100" b="0" baseline="0">
                    <a:latin typeface="Palatino" pitchFamily="2" charset="77"/>
                    <a:ea typeface="Palatino" pitchFamily="2" charset="77"/>
                  </a:rPr>
                  <a:t> firms</a:t>
                </a:r>
                <a:endParaRPr lang="en-US" sz="2100" b="0">
                  <a:latin typeface="Palatino" pitchFamily="2" charset="77"/>
                  <a:ea typeface="Palatino" pitchFamily="2" charset="77"/>
                </a:endParaRPr>
              </a:p>
            </c:rich>
          </c:tx>
          <c:layout>
            <c:manualLayout>
              <c:xMode val="edge"/>
              <c:yMode val="edge"/>
              <c:x val="1.3805240963166976E-3"/>
              <c:y val="0.13825862453467827"/>
            </c:manualLayout>
          </c:layout>
          <c:overlay val="0"/>
        </c:title>
        <c:numFmt formatCode="0%" sourceLinked="1"/>
        <c:majorTickMark val="none"/>
        <c:minorTickMark val="none"/>
        <c:tickLblPos val="nextTo"/>
        <c:txPr>
          <a:bodyPr/>
          <a:lstStyle/>
          <a:p>
            <a:pPr>
              <a:defRPr sz="2200">
                <a:latin typeface="Palatino"/>
                <a:cs typeface="Palatino"/>
              </a:defRPr>
            </a:pPr>
            <a:endParaRPr lang="en-US"/>
          </a:p>
        </c:txPr>
        <c:crossAx val="-2045299224"/>
        <c:crosses val="autoZero"/>
        <c:crossBetween val="midCat"/>
        <c:majorUnit val="5.000000000000001E-2"/>
      </c:valAx>
    </c:plotArea>
    <c:plotVisOnly val="1"/>
    <c:dispBlanksAs val="zero"/>
    <c:showDLblsOverMax val="0"/>
  </c:chart>
  <c:spPr>
    <a:ln>
      <a:noFill/>
    </a:ln>
  </c:sp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95CD9EB-8FD5-8047-8C1E-D34A818E26F3}">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195187D-2629-7F4F-A009-4EB3395AF2D7}">
  <sheetPr/>
  <sheetViews>
    <sheetView workbookViewId="0"/>
  </sheetViews>
  <pageMargins left="0.75" right="0" top="1" bottom="1" header="0.5" footer="0.5"/>
  <pageSetup orientation="landscape" horizontalDpi="4294967292" verticalDpi="4294967292"/>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1FDC4C5-3228-EF49-BBAE-FC6805DAF8C6}">
  <sheetPr/>
  <sheetViews>
    <sheetView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BFB3E34-EF54-AA48-8C89-1ADBD0614581}">
  <sheetPr/>
  <sheetViews>
    <sheetView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193018F-80A3-1D41-BA39-4BD54B17E6EF}">
  <sheetPr/>
  <sheetViews>
    <sheetView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A9BC62-BB11-3748-8920-5D1BFFE99528}">
  <sheetPr/>
  <sheetViews>
    <sheetView workbookViewId="0"/>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190037-2972-6A4B-B6CA-8A32E8AB7B71}">
  <sheetPr/>
  <sheetViews>
    <sheetView workbookViewId="0"/>
  </sheetViews>
  <pageMargins left="0.75" right="0" top="1" bottom="1" header="0.5" footer="0.5"/>
  <pageSetup orientation="landscape" horizontalDpi="4294967292" verticalDpi="429496729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90FF095D-75F7-1B4C-B842-B51718F47E5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0.93645</cdr:x>
      <cdr:y>0.09698</cdr:y>
    </cdr:from>
    <cdr:to>
      <cdr:x>0.93792</cdr:x>
      <cdr:y>0.87685</cdr:y>
    </cdr:to>
    <cdr:sp macro="" textlink="">
      <cdr:nvSpPr>
        <cdr:cNvPr id="2" name="Line 1">
          <a:extLst xmlns:a="http://schemas.openxmlformats.org/drawingml/2006/main">
            <a:ext uri="{FF2B5EF4-FFF2-40B4-BE49-F238E27FC236}">
              <a16:creationId xmlns:a16="http://schemas.microsoft.com/office/drawing/2014/main" id="{C411BEA8-C4D5-AA4B-89DF-49E0E19043DD}"/>
            </a:ext>
          </a:extLst>
        </cdr:cNvPr>
        <cdr:cNvSpPr>
          <a:spLocks xmlns:a="http://schemas.openxmlformats.org/drawingml/2006/main" noChangeShapeType="1"/>
        </cdr:cNvSpPr>
      </cdr:nvSpPr>
      <cdr:spPr bwMode="auto">
        <a:xfrm xmlns:a="http://schemas.openxmlformats.org/drawingml/2006/main">
          <a:off x="8122867" y="609665"/>
          <a:ext cx="12750" cy="4902653"/>
        </a:xfrm>
        <a:prstGeom xmlns:a="http://schemas.openxmlformats.org/drawingml/2006/main" prst="line">
          <a:avLst/>
        </a:prstGeom>
        <a:noFill xmlns:a="http://schemas.openxmlformats.org/drawingml/2006/main"/>
        <a:ln xmlns:a="http://schemas.openxmlformats.org/drawingml/2006/main" w="19050">
          <a:solidFill>
            <a:srgbClr xmlns:mc="http://schemas.openxmlformats.org/markup-compatibility/2006" xmlns:a14="http://schemas.microsoft.com/office/drawing/2010/main" val="000000" mc:Ignorable="a14" a14:legacySpreadsheetColorIndex="64"/>
          </a:solidFill>
          <a:prstDash val="dash"/>
          <a:round/>
          <a:headEnd/>
          <a:tailEnd type="none" w="med" len="med"/>
        </a:ln>
        <a:extLst xmlns:a="http://schemas.openxmlformats.org/drawingml/2006/main">
          <a:ext uri="{909E8E84-426E-40dd-AFC4-6F175D3DCCD1}">
            <a14:hiddenFill xmlns="" xmlns:a14="http://schemas.microsoft.com/office/drawing/2010/main" xmlns:lc="http://schemas.openxmlformats.org/drawingml/2006/lockedCanvas">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750300" cy="5829300"/>
    <xdr:graphicFrame macro="">
      <xdr:nvGraphicFramePr>
        <xdr:cNvPr id="2" name="Chart 1">
          <a:extLst>
            <a:ext uri="{FF2B5EF4-FFF2-40B4-BE49-F238E27FC236}">
              <a16:creationId xmlns:a16="http://schemas.microsoft.com/office/drawing/2014/main" id="{AF57031A-4A81-9F4E-B00C-08B57E8CC99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0.63845</cdr:x>
      <cdr:y>0.57628</cdr:y>
    </cdr:from>
    <cdr:to>
      <cdr:x>0.88158</cdr:x>
      <cdr:y>0.64902</cdr:y>
    </cdr:to>
    <cdr:sp macro="" textlink="">
      <cdr:nvSpPr>
        <cdr:cNvPr id="3" name="Rectangle 2"/>
        <cdr:cNvSpPr/>
      </cdr:nvSpPr>
      <cdr:spPr>
        <a:xfrm xmlns:a="http://schemas.openxmlformats.org/drawingml/2006/main">
          <a:off x="5813705" y="3359298"/>
          <a:ext cx="2213917"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Switzerland</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0.62872</cdr:x>
      <cdr:y>0.47801</cdr:y>
    </cdr:from>
    <cdr:to>
      <cdr:x>0.87185</cdr:x>
      <cdr:y>0.55076</cdr:y>
    </cdr:to>
    <cdr:sp macro="" textlink="">
      <cdr:nvSpPr>
        <cdr:cNvPr id="4" name="Rectangle 3"/>
        <cdr:cNvSpPr/>
      </cdr:nvSpPr>
      <cdr:spPr>
        <a:xfrm xmlns:a="http://schemas.openxmlformats.org/drawingml/2006/main">
          <a:off x="5725104" y="2786484"/>
          <a:ext cx="2213918" cy="42408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Caribbean</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0.45232</cdr:x>
      <cdr:y>0.26937</cdr:y>
    </cdr:from>
    <cdr:to>
      <cdr:x>0.69545</cdr:x>
      <cdr:y>0.34211</cdr:y>
    </cdr:to>
    <cdr:sp macro="" textlink="">
      <cdr:nvSpPr>
        <cdr:cNvPr id="5" name="Rectangle 4"/>
        <cdr:cNvSpPr/>
      </cdr:nvSpPr>
      <cdr:spPr>
        <a:xfrm xmlns:a="http://schemas.openxmlformats.org/drawingml/2006/main">
          <a:off x="4118801" y="1570218"/>
          <a:ext cx="2213917"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Singapore</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0.60135</cdr:x>
      <cdr:y>0.05386</cdr:y>
    </cdr:from>
    <cdr:to>
      <cdr:x>0.84448</cdr:x>
      <cdr:y>0.1266</cdr:y>
    </cdr:to>
    <cdr:sp macro="" textlink="">
      <cdr:nvSpPr>
        <cdr:cNvPr id="7" name="Rectangle 6"/>
        <cdr:cNvSpPr/>
      </cdr:nvSpPr>
      <cdr:spPr>
        <a:xfrm xmlns:a="http://schemas.openxmlformats.org/drawingml/2006/main">
          <a:off x="5475814" y="313956"/>
          <a:ext cx="2213918" cy="42402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Netherlands &amp; Luxembourg</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0.78051</cdr:x>
      <cdr:y>0.75244</cdr:y>
    </cdr:from>
    <cdr:to>
      <cdr:x>0.96547</cdr:x>
      <cdr:y>0.82518</cdr:y>
    </cdr:to>
    <cdr:sp macro="" textlink="">
      <cdr:nvSpPr>
        <cdr:cNvPr id="9" name="Rectangle 1"/>
        <cdr:cNvSpPr/>
      </cdr:nvSpPr>
      <cdr:spPr>
        <a:xfrm xmlns:a="http://schemas.openxmlformats.org/drawingml/2006/main">
          <a:off x="6829733" y="4386225"/>
          <a:ext cx="1618455" cy="42402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ysClr val="windowText" lastClr="000000"/>
              </a:solidFill>
              <a:effectLst/>
              <a:latin typeface="Palatino"/>
              <a:cs typeface="Palatino"/>
            </a:rPr>
            <a:t>Ireland</a:t>
          </a:r>
        </a:p>
        <a:p xmlns:a="http://schemas.openxmlformats.org/drawingml/2006/main">
          <a:endParaRPr lang="fr-FR" sz="2200" u="none" baseline="0">
            <a:ln>
              <a:noFill/>
            </a:ln>
            <a:solidFill>
              <a:schemeClr val="bg1"/>
            </a:solidFill>
            <a:effectLst/>
            <a:latin typeface="Palatino"/>
            <a:cs typeface="Palatino"/>
          </a:endParaRPr>
        </a:p>
      </cdr:txBody>
    </cdr:sp>
  </cdr:relSizeAnchor>
  <cdr:relSizeAnchor xmlns:cdr="http://schemas.openxmlformats.org/drawingml/2006/chartDrawing">
    <cdr:from>
      <cdr:x>0.82845</cdr:x>
      <cdr:y>0.10675</cdr:y>
    </cdr:from>
    <cdr:to>
      <cdr:x>0.894</cdr:x>
      <cdr:y>0.18954</cdr:y>
    </cdr:to>
    <cdr:cxnSp macro="">
      <cdr:nvCxnSpPr>
        <cdr:cNvPr id="16" name="Connecteur droit avec flèche 7">
          <a:extLst xmlns:a="http://schemas.openxmlformats.org/drawingml/2006/main">
            <a:ext uri="{FF2B5EF4-FFF2-40B4-BE49-F238E27FC236}">
              <a16:creationId xmlns:a16="http://schemas.microsoft.com/office/drawing/2014/main" id="{2AB2A12D-1B44-3943-9000-70505307EA8D}"/>
            </a:ext>
          </a:extLst>
        </cdr:cNvPr>
        <cdr:cNvCxnSpPr/>
      </cdr:nvCxnSpPr>
      <cdr:spPr>
        <a:xfrm xmlns:a="http://schemas.openxmlformats.org/drawingml/2006/main">
          <a:off x="7543783" y="622278"/>
          <a:ext cx="596917" cy="482622"/>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0.6569</cdr:x>
      <cdr:y>0.32244</cdr:y>
    </cdr:from>
    <cdr:to>
      <cdr:x>0.70711</cdr:x>
      <cdr:y>0.3878</cdr:y>
    </cdr:to>
    <cdr:cxnSp macro="">
      <cdr:nvCxnSpPr>
        <cdr:cNvPr id="15" name="Connecteur droit avec flèche 7">
          <a:extLst xmlns:a="http://schemas.openxmlformats.org/drawingml/2006/main">
            <a:ext uri="{FF2B5EF4-FFF2-40B4-BE49-F238E27FC236}">
              <a16:creationId xmlns:a16="http://schemas.microsoft.com/office/drawing/2014/main" id="{55EAB25B-68E6-EC4F-97F5-09B72C3FC7E9}"/>
            </a:ext>
          </a:extLst>
        </cdr:cNvPr>
        <cdr:cNvCxnSpPr/>
      </cdr:nvCxnSpPr>
      <cdr:spPr>
        <a:xfrm xmlns:a="http://schemas.openxmlformats.org/drawingml/2006/main">
          <a:off x="5981666" y="1879599"/>
          <a:ext cx="457234" cy="381001"/>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643DD49A-1CD3-C344-A5B7-911935D9CCD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94</xdr:col>
      <xdr:colOff>285750</xdr:colOff>
      <xdr:row>45</xdr:row>
      <xdr:rowOff>107950</xdr:rowOff>
    </xdr:from>
    <xdr:to>
      <xdr:col>99</xdr:col>
      <xdr:colOff>406400</xdr:colOff>
      <xdr:row>59</xdr:row>
      <xdr:rowOff>101600</xdr:rowOff>
    </xdr:to>
    <xdr:graphicFrame macro="">
      <xdr:nvGraphicFramePr>
        <xdr:cNvPr id="3" name="Chart 2">
          <a:extLst>
            <a:ext uri="{FF2B5EF4-FFF2-40B4-BE49-F238E27FC236}">
              <a16:creationId xmlns:a16="http://schemas.microsoft.com/office/drawing/2014/main" id="{586BD7B0-990E-B641-8A3E-4533BE751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87</xdr:col>
      <xdr:colOff>342900</xdr:colOff>
      <xdr:row>45</xdr:row>
      <xdr:rowOff>139706</xdr:rowOff>
    </xdr:from>
    <xdr:to>
      <xdr:col>93</xdr:col>
      <xdr:colOff>0</xdr:colOff>
      <xdr:row>61</xdr:row>
      <xdr:rowOff>12706</xdr:rowOff>
    </xdr:to>
    <xdr:graphicFrame macro="">
      <xdr:nvGraphicFramePr>
        <xdr:cNvPr id="5" name="Chart 4">
          <a:extLst>
            <a:ext uri="{FF2B5EF4-FFF2-40B4-BE49-F238E27FC236}">
              <a16:creationId xmlns:a16="http://schemas.microsoft.com/office/drawing/2014/main" id="{F0F0F7BB-FFF3-A244-BAEE-2AD3502DB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77</xdr:col>
      <xdr:colOff>114300</xdr:colOff>
      <xdr:row>44</xdr:row>
      <xdr:rowOff>82550</xdr:rowOff>
    </xdr:from>
    <xdr:to>
      <xdr:col>82</xdr:col>
      <xdr:colOff>114300</xdr:colOff>
      <xdr:row>59</xdr:row>
      <xdr:rowOff>107950</xdr:rowOff>
    </xdr:to>
    <xdr:graphicFrame macro="">
      <xdr:nvGraphicFramePr>
        <xdr:cNvPr id="6" name="Chart 5">
          <a:extLst>
            <a:ext uri="{FF2B5EF4-FFF2-40B4-BE49-F238E27FC236}">
              <a16:creationId xmlns:a16="http://schemas.microsoft.com/office/drawing/2014/main" id="{A554F482-1FFD-584E-9AF4-4675D9367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50352224-6C39-F846-A154-ABC0E3B165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BA2191F5-E02A-D74F-96B4-3E66952D18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31073437-1C7A-374F-8E7E-66EE3A84D9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0.93352</cdr:x>
      <cdr:y>0.099</cdr:y>
    </cdr:from>
    <cdr:to>
      <cdr:x>0.93499</cdr:x>
      <cdr:y>0.87887</cdr:y>
    </cdr:to>
    <cdr:sp macro="" textlink="">
      <cdr:nvSpPr>
        <cdr:cNvPr id="2" name="Line 1">
          <a:extLst xmlns:a="http://schemas.openxmlformats.org/drawingml/2006/main">
            <a:ext uri="{FF2B5EF4-FFF2-40B4-BE49-F238E27FC236}">
              <a16:creationId xmlns:a16="http://schemas.microsoft.com/office/drawing/2014/main" id="{C411BEA8-C4D5-AA4B-89DF-49E0E19043DD}"/>
            </a:ext>
          </a:extLst>
        </cdr:cNvPr>
        <cdr:cNvSpPr>
          <a:spLocks xmlns:a="http://schemas.openxmlformats.org/drawingml/2006/main" noChangeShapeType="1"/>
        </cdr:cNvSpPr>
      </cdr:nvSpPr>
      <cdr:spPr bwMode="auto">
        <a:xfrm xmlns:a="http://schemas.openxmlformats.org/drawingml/2006/main">
          <a:off x="8097431" y="622364"/>
          <a:ext cx="12751" cy="4902652"/>
        </a:xfrm>
        <a:prstGeom xmlns:a="http://schemas.openxmlformats.org/drawingml/2006/main" prst="line">
          <a:avLst/>
        </a:prstGeom>
        <a:noFill xmlns:a="http://schemas.openxmlformats.org/drawingml/2006/main"/>
        <a:ln xmlns:a="http://schemas.openxmlformats.org/drawingml/2006/main" w="19050">
          <a:solidFill>
            <a:srgbClr xmlns:mc="http://schemas.openxmlformats.org/markup-compatibility/2006" xmlns:a14="http://schemas.microsoft.com/office/drawing/2010/main" val="000000" mc:Ignorable="a14" a14:legacySpreadsheetColorIndex="64"/>
          </a:solidFill>
          <a:prstDash val="dash"/>
          <a:round/>
          <a:headEnd/>
          <a:tailEnd type="none" w="med" len="med"/>
        </a:ln>
        <a:extLst xmlns:a="http://schemas.openxmlformats.org/drawingml/2006/main">
          <a:ext uri="{909E8E84-426E-40dd-AFC4-6F175D3DCCD1}">
            <a14:hiddenFill xmlns:lc="http://schemas.openxmlformats.org/drawingml/2006/lockedCanvas" xmlns:a14="http://schemas.microsoft.com/office/drawing/2010/main" xmlns="">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9105900" cy="5829300"/>
    <xdr:graphicFrame macro="">
      <xdr:nvGraphicFramePr>
        <xdr:cNvPr id="2" name="Chart 1">
          <a:extLst>
            <a:ext uri="{FF2B5EF4-FFF2-40B4-BE49-F238E27FC236}">
              <a16:creationId xmlns:a16="http://schemas.microsoft.com/office/drawing/2014/main" id="{6899AFCE-DC03-754E-9C04-726A2C0E50A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0.56598</cdr:x>
      <cdr:y>0.61768</cdr:y>
    </cdr:from>
    <cdr:to>
      <cdr:x>0.80911</cdr:x>
      <cdr:y>0.69042</cdr:y>
    </cdr:to>
    <cdr:sp macro="" textlink="">
      <cdr:nvSpPr>
        <cdr:cNvPr id="3" name="Rectangle 2"/>
        <cdr:cNvSpPr/>
      </cdr:nvSpPr>
      <cdr:spPr>
        <a:xfrm xmlns:a="http://schemas.openxmlformats.org/drawingml/2006/main">
          <a:off x="4952507" y="3600623"/>
          <a:ext cx="2127460"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Switzerland</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0.23124</cdr:x>
      <cdr:y>0.67191</cdr:y>
    </cdr:from>
    <cdr:to>
      <cdr:x>0.47437</cdr:x>
      <cdr:y>0.74466</cdr:y>
    </cdr:to>
    <cdr:sp macro="" textlink="">
      <cdr:nvSpPr>
        <cdr:cNvPr id="4" name="Rectangle 3"/>
        <cdr:cNvSpPr/>
      </cdr:nvSpPr>
      <cdr:spPr>
        <a:xfrm xmlns:a="http://schemas.openxmlformats.org/drawingml/2006/main">
          <a:off x="2105648" y="3916785"/>
          <a:ext cx="2213918" cy="42408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Caribbean</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0.55553</cdr:x>
      <cdr:y>0.24758</cdr:y>
    </cdr:from>
    <cdr:to>
      <cdr:x>0.79866</cdr:x>
      <cdr:y>0.32032</cdr:y>
    </cdr:to>
    <cdr:sp macro="" textlink="">
      <cdr:nvSpPr>
        <cdr:cNvPr id="5" name="Rectangle 4"/>
        <cdr:cNvSpPr/>
      </cdr:nvSpPr>
      <cdr:spPr>
        <a:xfrm xmlns:a="http://schemas.openxmlformats.org/drawingml/2006/main">
          <a:off x="5058586" y="1443193"/>
          <a:ext cx="2213917"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Singapore</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0.24291</cdr:x>
      <cdr:y>0.18022</cdr:y>
    </cdr:from>
    <cdr:to>
      <cdr:x>0.48604</cdr:x>
      <cdr:y>0.25296</cdr:y>
    </cdr:to>
    <cdr:sp macro="" textlink="">
      <cdr:nvSpPr>
        <cdr:cNvPr id="7" name="Rectangle 6"/>
        <cdr:cNvSpPr/>
      </cdr:nvSpPr>
      <cdr:spPr>
        <a:xfrm xmlns:a="http://schemas.openxmlformats.org/drawingml/2006/main">
          <a:off x="2211886" y="1050567"/>
          <a:ext cx="2213917" cy="42402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Netherlands &amp; Luxembourg</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0.6078</cdr:x>
      <cdr:y>0.75462</cdr:y>
    </cdr:from>
    <cdr:to>
      <cdr:x>0.79276</cdr:x>
      <cdr:y>0.82736</cdr:y>
    </cdr:to>
    <cdr:sp macro="" textlink="">
      <cdr:nvSpPr>
        <cdr:cNvPr id="9" name="Rectangle 1"/>
        <cdr:cNvSpPr/>
      </cdr:nvSpPr>
      <cdr:spPr>
        <a:xfrm xmlns:a="http://schemas.openxmlformats.org/drawingml/2006/main">
          <a:off x="5318397" y="4398898"/>
          <a:ext cx="1618455" cy="42402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ysClr val="windowText" lastClr="000000"/>
              </a:solidFill>
              <a:effectLst/>
              <a:latin typeface="Palatino"/>
              <a:cs typeface="Palatino"/>
            </a:rPr>
            <a:t>Ireland</a:t>
          </a:r>
        </a:p>
        <a:p xmlns:a="http://schemas.openxmlformats.org/drawingml/2006/main">
          <a:endParaRPr lang="fr-FR" sz="2200" u="none" baseline="0">
            <a:ln>
              <a:noFill/>
            </a:ln>
            <a:solidFill>
              <a:schemeClr val="bg1"/>
            </a:solidFill>
            <a:effectLst/>
            <a:latin typeface="Palatino"/>
            <a:cs typeface="Palatino"/>
          </a:endParaRPr>
        </a:p>
      </cdr:txBody>
    </cdr:sp>
  </cdr:relSizeAnchor>
  <cdr:relSizeAnchor xmlns:cdr="http://schemas.openxmlformats.org/drawingml/2006/chartDrawing">
    <cdr:from>
      <cdr:x>0.40369</cdr:x>
      <cdr:y>0.32809</cdr:y>
    </cdr:from>
    <cdr:to>
      <cdr:x>0.48766</cdr:x>
      <cdr:y>0.48584</cdr:y>
    </cdr:to>
    <cdr:cxnSp macro="">
      <cdr:nvCxnSpPr>
        <cdr:cNvPr id="16" name="Connecteur droit avec flèche 7">
          <a:extLst xmlns:a="http://schemas.openxmlformats.org/drawingml/2006/main">
            <a:ext uri="{FF2B5EF4-FFF2-40B4-BE49-F238E27FC236}">
              <a16:creationId xmlns:a16="http://schemas.microsoft.com/office/drawing/2014/main" id="{2AB2A12D-1B44-3943-9000-70505307EA8D}"/>
            </a:ext>
          </a:extLst>
        </cdr:cNvPr>
        <cdr:cNvCxnSpPr/>
      </cdr:nvCxnSpPr>
      <cdr:spPr>
        <a:xfrm xmlns:a="http://schemas.openxmlformats.org/drawingml/2006/main">
          <a:off x="3532409" y="1912535"/>
          <a:ext cx="734791" cy="919565"/>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0.73348</cdr:x>
      <cdr:y>0.31591</cdr:y>
    </cdr:from>
    <cdr:to>
      <cdr:x>0.78374</cdr:x>
      <cdr:y>0.45752</cdr:y>
    </cdr:to>
    <cdr:cxnSp macro="">
      <cdr:nvCxnSpPr>
        <cdr:cNvPr id="15" name="Connecteur droit avec flèche 7">
          <a:extLst xmlns:a="http://schemas.openxmlformats.org/drawingml/2006/main">
            <a:ext uri="{FF2B5EF4-FFF2-40B4-BE49-F238E27FC236}">
              <a16:creationId xmlns:a16="http://schemas.microsoft.com/office/drawing/2014/main" id="{55EAB25B-68E6-EC4F-97F5-09B72C3FC7E9}"/>
            </a:ext>
          </a:extLst>
        </cdr:cNvPr>
        <cdr:cNvCxnSpPr/>
      </cdr:nvCxnSpPr>
      <cdr:spPr>
        <a:xfrm xmlns:a="http://schemas.openxmlformats.org/drawingml/2006/main">
          <a:off x="6418197" y="1841555"/>
          <a:ext cx="439803" cy="825445"/>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0.90276</cdr:x>
      <cdr:y>0.03268</cdr:y>
    </cdr:from>
    <cdr:to>
      <cdr:x>0.90432</cdr:x>
      <cdr:y>0.84483</cdr:y>
    </cdr:to>
    <cdr:sp macro="" textlink="">
      <cdr:nvSpPr>
        <cdr:cNvPr id="12" name="Line 1">
          <a:extLst xmlns:a="http://schemas.openxmlformats.org/drawingml/2006/main">
            <a:ext uri="{FF2B5EF4-FFF2-40B4-BE49-F238E27FC236}">
              <a16:creationId xmlns:a16="http://schemas.microsoft.com/office/drawing/2014/main" id="{B4ED1484-54F9-DE49-A502-29F049E3601E}"/>
            </a:ext>
          </a:extLst>
        </cdr:cNvPr>
        <cdr:cNvSpPr>
          <a:spLocks xmlns:a="http://schemas.openxmlformats.org/drawingml/2006/main" noChangeShapeType="1"/>
        </cdr:cNvSpPr>
      </cdr:nvSpPr>
      <cdr:spPr bwMode="auto">
        <a:xfrm xmlns:a="http://schemas.openxmlformats.org/drawingml/2006/main">
          <a:off x="7899400" y="190500"/>
          <a:ext cx="13684" cy="4734279"/>
        </a:xfrm>
        <a:prstGeom xmlns:a="http://schemas.openxmlformats.org/drawingml/2006/main" prst="line">
          <a:avLst/>
        </a:prstGeom>
        <a:noFill xmlns:a="http://schemas.openxmlformats.org/drawingml/2006/main"/>
        <a:ln xmlns:a="http://schemas.openxmlformats.org/drawingml/2006/main" w="19050">
          <a:solidFill>
            <a:srgbClr xmlns:mc="http://schemas.openxmlformats.org/markup-compatibility/2006" xmlns:a14="http://schemas.microsoft.com/office/drawing/2010/main" val="000000" mc:Ignorable="a14" a14:legacySpreadsheetColorIndex="64"/>
          </a:solidFill>
          <a:prstDash val="dash"/>
          <a:round/>
          <a:headEnd/>
          <a:tailEnd type="none" w="med" len="med"/>
        </a:ln>
        <a:extLst xmlns:a="http://schemas.openxmlformats.org/drawingml/2006/main">
          <a:ext uri="{909E8E84-426E-40dd-AFC4-6F175D3DCCD1}">
            <a14:hiddenFill xmlns:a14="http://schemas.microsoft.com/office/drawing/2010/main" xmlns="" xmlns:lc="http://schemas.openxmlformats.org/drawingml/2006/lockedCanvas">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zucman/Dropbox/WrightZucman2018/WrightZucman2018Append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1998revised/tab2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1999revised/Tab2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0revised/Tab2R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1revised/Tab2R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2revised/Tab2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3revised/Tab2R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4revised/Tab2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4revised/Tab2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5revised/Tab2R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6revised/Tab2R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7revised/Tab2R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8revised/Tab2R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09r_excel/Part%20I%20N1-P1%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0r_excel/Part%20I%20K1-R2%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1r_excel/Part%20I%20K1-R2%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2r_excel/Part%20I%20K1-R2%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3r_excel/Part%20I%20K1-R2%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4revised/PartI-N1-P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5revised/Part%20I%20K1-R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6revised/Part-I-K1-R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7revised/Part-I-K1-R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8prelim/Part-I-K1-R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gzucman/Dropbox/WrightZucman2018/RawData/BEA/BEASurvey/USDIA/usdia2019prelim/Part-I-K1-R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BoP)"/>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Page"/>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 1"/>
      <sheetName val="I.N 1"/>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 1"/>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 1"/>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 val="Table I.N 1"/>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I.P 1"/>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09B0-12B0-2F43-86D7-B43EAE772928}">
  <sheetPr>
    <tabColor theme="1"/>
  </sheetPr>
  <dimension ref="A1"/>
  <sheetViews>
    <sheetView workbookViewId="0">
      <selection activeCell="E21" sqref="E21"/>
    </sheetView>
  </sheetViews>
  <sheetFormatPr baseColWidth="10" defaultColWidth="11.5703125" defaultRowHeight="1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3FC1-2C52-3B47-81B3-C11037E98767}">
  <dimension ref="A1:DB67"/>
  <sheetViews>
    <sheetView tabSelected="1" workbookViewId="0">
      <pane xSplit="1" ySplit="4" topLeftCell="G32" activePane="bottomRight" state="frozen"/>
      <selection activeCell="B38" sqref="B38:B42"/>
      <selection pane="topRight" activeCell="B38" sqref="B38:B42"/>
      <selection pane="bottomLeft" activeCell="B38" sqref="B38:B42"/>
      <selection pane="bottomRight" activeCell="P48" sqref="P48"/>
    </sheetView>
  </sheetViews>
  <sheetFormatPr baseColWidth="10" defaultColWidth="7.5703125" defaultRowHeight="16" x14ac:dyDescent="0.2"/>
  <cols>
    <col min="1" max="1" width="7.7109375" style="78" bestFit="1" customWidth="1"/>
    <col min="2" max="10" width="8.85546875" style="78" customWidth="1"/>
    <col min="11" max="11" width="7.7109375" style="78" customWidth="1"/>
    <col min="12" max="12" width="7.5703125" style="78"/>
    <col min="13" max="14" width="7.5703125" style="78" customWidth="1"/>
    <col min="15" max="28" width="8" style="78" customWidth="1"/>
    <col min="29" max="29" width="10" style="78" bestFit="1" customWidth="1"/>
    <col min="30" max="35" width="7.7109375" style="78" bestFit="1" customWidth="1"/>
    <col min="36" max="36" width="7.5703125" style="78"/>
    <col min="37" max="43" width="7.7109375" style="78" bestFit="1" customWidth="1"/>
    <col min="44" max="44" width="10.140625" style="78" bestFit="1" customWidth="1"/>
    <col min="45" max="46" width="7.7109375" style="78" bestFit="1" customWidth="1"/>
    <col min="48" max="57" width="7.7109375" style="78" bestFit="1" customWidth="1"/>
    <col min="58" max="58" width="7.7109375" style="78" customWidth="1"/>
    <col min="59" max="59" width="7.7109375" style="78" bestFit="1" customWidth="1"/>
    <col min="60" max="60" width="7.5703125" style="78"/>
    <col min="61" max="61" width="7.7109375" style="78" bestFit="1" customWidth="1"/>
    <col min="62" max="62" width="7.5703125" style="78"/>
    <col min="63" max="65" width="7.7109375" style="78" bestFit="1" customWidth="1"/>
    <col min="66" max="69" width="7.5703125" style="78"/>
    <col min="70" max="71" width="7.5703125" style="78" customWidth="1"/>
    <col min="72" max="87" width="7.5703125" style="78"/>
    <col min="88" max="93" width="7.7109375" style="78" bestFit="1" customWidth="1"/>
    <col min="94" max="94" width="7.5703125" style="78"/>
    <col min="95" max="103" width="7.7109375" style="78" bestFit="1" customWidth="1"/>
    <col min="104" max="104" width="10.140625" style="78" bestFit="1" customWidth="1"/>
    <col min="105" max="105" width="10" style="78" customWidth="1"/>
    <col min="106" max="106" width="10" style="78" bestFit="1" customWidth="1"/>
    <col min="107" max="16384" width="7.5703125" style="78"/>
  </cols>
  <sheetData>
    <row r="1" spans="1:106" x14ac:dyDescent="0.2">
      <c r="BP1" s="58" t="s">
        <v>96</v>
      </c>
    </row>
    <row r="2" spans="1:106" x14ac:dyDescent="0.2">
      <c r="B2" s="79" t="s">
        <v>140</v>
      </c>
      <c r="H2" s="79" t="s">
        <v>139</v>
      </c>
      <c r="O2" s="79" t="s">
        <v>39</v>
      </c>
      <c r="AD2" s="79" t="s">
        <v>38</v>
      </c>
      <c r="AE2" s="79"/>
      <c r="AF2" s="79"/>
      <c r="AV2" s="79" t="s">
        <v>137</v>
      </c>
      <c r="BQ2" s="58" t="s">
        <v>95</v>
      </c>
      <c r="BR2"/>
      <c r="BS2"/>
      <c r="BT2"/>
      <c r="BU2"/>
      <c r="BV2"/>
      <c r="BW2"/>
      <c r="BX2" s="69"/>
      <c r="BY2" s="69"/>
      <c r="BZ2" s="58" t="s">
        <v>94</v>
      </c>
      <c r="CA2"/>
      <c r="CB2"/>
      <c r="CC2"/>
      <c r="CD2"/>
      <c r="CE2"/>
      <c r="CF2"/>
      <c r="CG2"/>
      <c r="CH2"/>
      <c r="CI2"/>
      <c r="CJ2" s="79" t="s">
        <v>136</v>
      </c>
      <c r="CQ2" s="79" t="s">
        <v>135</v>
      </c>
    </row>
    <row r="3" spans="1:106" s="88" customFormat="1" ht="134" customHeight="1" x14ac:dyDescent="0.15">
      <c r="A3" s="87" t="s">
        <v>30</v>
      </c>
      <c r="B3" s="88" t="s">
        <v>31</v>
      </c>
      <c r="C3" s="88" t="s">
        <v>32</v>
      </c>
      <c r="D3" s="88" t="s">
        <v>33</v>
      </c>
      <c r="E3" s="88" t="s">
        <v>34</v>
      </c>
      <c r="F3" s="88" t="s">
        <v>35</v>
      </c>
      <c r="G3" s="88" t="s">
        <v>36</v>
      </c>
      <c r="H3" s="88" t="s">
        <v>34</v>
      </c>
      <c r="I3" s="88" t="s">
        <v>35</v>
      </c>
      <c r="J3" s="88" t="s">
        <v>36</v>
      </c>
      <c r="K3" s="82" t="s">
        <v>93</v>
      </c>
      <c r="L3" s="77" t="s">
        <v>93</v>
      </c>
      <c r="M3" s="77" t="s">
        <v>93</v>
      </c>
      <c r="N3" s="89"/>
      <c r="O3" s="90" t="s">
        <v>37</v>
      </c>
      <c r="P3" s="92" t="s">
        <v>41</v>
      </c>
      <c r="Q3" s="90" t="s">
        <v>125</v>
      </c>
      <c r="R3" s="90" t="s">
        <v>142</v>
      </c>
      <c r="S3" s="90" t="s">
        <v>149</v>
      </c>
      <c r="T3" s="90" t="s">
        <v>126</v>
      </c>
      <c r="U3" s="90" t="s">
        <v>133</v>
      </c>
      <c r="V3" s="90" t="s">
        <v>50</v>
      </c>
      <c r="W3" s="90" t="s">
        <v>51</v>
      </c>
      <c r="X3" s="90" t="s">
        <v>69</v>
      </c>
      <c r="Y3" s="90" t="s">
        <v>71</v>
      </c>
      <c r="Z3" s="90" t="s">
        <v>72</v>
      </c>
      <c r="AA3" s="90" t="s">
        <v>114</v>
      </c>
      <c r="AB3" s="90" t="s">
        <v>116</v>
      </c>
      <c r="AD3" s="91" t="s">
        <v>92</v>
      </c>
      <c r="AE3" s="90" t="s">
        <v>104</v>
      </c>
      <c r="AF3" s="90" t="s">
        <v>108</v>
      </c>
      <c r="AG3" s="91" t="s">
        <v>92</v>
      </c>
      <c r="AH3" s="90" t="s">
        <v>105</v>
      </c>
      <c r="AI3" s="90" t="s">
        <v>106</v>
      </c>
      <c r="AJ3" s="90"/>
      <c r="AK3" s="91" t="s">
        <v>109</v>
      </c>
      <c r="AL3" s="90" t="s">
        <v>112</v>
      </c>
      <c r="AM3" s="90" t="s">
        <v>106</v>
      </c>
      <c r="AN3" s="91" t="s">
        <v>109</v>
      </c>
      <c r="AO3" s="90" t="s">
        <v>110</v>
      </c>
      <c r="AP3" s="90" t="s">
        <v>111</v>
      </c>
      <c r="AQ3" s="90" t="s">
        <v>93</v>
      </c>
      <c r="AR3" s="91" t="s">
        <v>86</v>
      </c>
      <c r="AS3" s="91" t="s">
        <v>87</v>
      </c>
      <c r="AT3" s="92" t="s">
        <v>132</v>
      </c>
      <c r="AV3" s="90" t="s">
        <v>52</v>
      </c>
      <c r="AW3" s="90" t="s">
        <v>101</v>
      </c>
      <c r="AX3" s="90" t="s">
        <v>55</v>
      </c>
      <c r="AY3" s="90" t="s">
        <v>53</v>
      </c>
      <c r="AZ3" s="90" t="s">
        <v>54</v>
      </c>
      <c r="BA3" s="90" t="s">
        <v>128</v>
      </c>
      <c r="BB3" s="90" t="s">
        <v>56</v>
      </c>
      <c r="BC3" s="90" t="s">
        <v>80</v>
      </c>
      <c r="BD3" s="90" t="s">
        <v>79</v>
      </c>
      <c r="BE3" s="88" t="s">
        <v>138</v>
      </c>
      <c r="BF3" s="88" t="s">
        <v>147</v>
      </c>
      <c r="BG3" s="87" t="s">
        <v>145</v>
      </c>
      <c r="BI3" s="88" t="s">
        <v>58</v>
      </c>
      <c r="BJ3" s="88" t="s">
        <v>64</v>
      </c>
      <c r="BK3" s="88" t="s">
        <v>65</v>
      </c>
      <c r="BL3" s="88" t="s">
        <v>66</v>
      </c>
      <c r="BM3" s="88" t="s">
        <v>67</v>
      </c>
      <c r="BP3" s="93"/>
      <c r="BQ3" s="94" t="s">
        <v>130</v>
      </c>
      <c r="BR3" s="95" t="s">
        <v>21</v>
      </c>
      <c r="BS3" s="88" t="s">
        <v>144</v>
      </c>
      <c r="BT3" s="70" t="s">
        <v>22</v>
      </c>
      <c r="BU3" s="95" t="s">
        <v>23</v>
      </c>
      <c r="BV3" s="70" t="s">
        <v>24</v>
      </c>
      <c r="BW3" s="95" t="s">
        <v>25</v>
      </c>
      <c r="BX3" s="70" t="s">
        <v>93</v>
      </c>
      <c r="BY3" s="70"/>
      <c r="BZ3" s="95" t="s">
        <v>88</v>
      </c>
      <c r="CA3" s="95" t="s">
        <v>89</v>
      </c>
      <c r="CB3" s="95" t="s">
        <v>90</v>
      </c>
      <c r="CC3" s="95" t="s">
        <v>21</v>
      </c>
      <c r="CD3" s="70" t="s">
        <v>22</v>
      </c>
      <c r="CE3" s="95" t="s">
        <v>23</v>
      </c>
      <c r="CF3" s="70" t="s">
        <v>24</v>
      </c>
      <c r="CG3" s="95" t="s">
        <v>25</v>
      </c>
      <c r="CH3" s="70" t="s">
        <v>93</v>
      </c>
      <c r="CI3" s="70"/>
      <c r="CJ3" s="92" t="s">
        <v>97</v>
      </c>
      <c r="CK3" s="90" t="s">
        <v>98</v>
      </c>
      <c r="CL3" s="90" t="s">
        <v>99</v>
      </c>
      <c r="CM3" s="90" t="s">
        <v>118</v>
      </c>
      <c r="CN3" s="92" t="s">
        <v>113</v>
      </c>
      <c r="CO3" s="92" t="s">
        <v>115</v>
      </c>
      <c r="CQ3" s="90" t="s">
        <v>42</v>
      </c>
      <c r="CR3" s="90" t="s">
        <v>82</v>
      </c>
      <c r="CS3" s="90" t="s">
        <v>83</v>
      </c>
      <c r="CT3" s="90" t="s">
        <v>84</v>
      </c>
      <c r="CU3" s="90" t="s">
        <v>131</v>
      </c>
      <c r="CV3" s="90" t="s">
        <v>43</v>
      </c>
      <c r="CW3" s="90" t="s">
        <v>119</v>
      </c>
      <c r="CX3" s="90" t="s">
        <v>120</v>
      </c>
      <c r="CY3" s="90" t="s">
        <v>121</v>
      </c>
      <c r="CZ3" s="90" t="s">
        <v>122</v>
      </c>
      <c r="DA3" s="90" t="s">
        <v>123</v>
      </c>
      <c r="DB3" s="88" t="s">
        <v>146</v>
      </c>
    </row>
    <row r="4" spans="1:106" s="82" customFormat="1" ht="43" customHeight="1" x14ac:dyDescent="0.2">
      <c r="A4" s="82" t="s">
        <v>59</v>
      </c>
      <c r="B4" s="100" t="s">
        <v>141</v>
      </c>
      <c r="H4" s="100" t="s">
        <v>141</v>
      </c>
      <c r="L4" s="77"/>
      <c r="M4" s="77"/>
      <c r="N4" s="77"/>
      <c r="O4" s="52" t="s">
        <v>70</v>
      </c>
      <c r="P4" s="108" t="s">
        <v>61</v>
      </c>
      <c r="Q4" s="52"/>
      <c r="R4" s="52"/>
      <c r="S4" s="52" t="s">
        <v>150</v>
      </c>
      <c r="T4" s="52"/>
      <c r="U4" s="52"/>
      <c r="V4" s="52" t="s">
        <v>62</v>
      </c>
      <c r="W4" s="52" t="s">
        <v>60</v>
      </c>
      <c r="X4" s="52"/>
      <c r="Y4" s="52"/>
      <c r="Z4" s="52"/>
      <c r="AA4" s="52"/>
      <c r="AB4" s="52" t="s">
        <v>117</v>
      </c>
      <c r="AD4" s="52" t="s">
        <v>102</v>
      </c>
      <c r="AE4" s="52"/>
      <c r="AF4" s="52" t="s">
        <v>107</v>
      </c>
      <c r="AG4" s="52"/>
      <c r="AH4" s="52"/>
      <c r="AI4" s="52" t="s">
        <v>81</v>
      </c>
      <c r="AJ4" s="52"/>
      <c r="AK4" s="52"/>
      <c r="AL4" s="52"/>
      <c r="AM4" s="52"/>
      <c r="AN4" s="52"/>
      <c r="AO4" s="52"/>
      <c r="AP4" s="52" t="s">
        <v>103</v>
      </c>
      <c r="AQ4" s="52"/>
      <c r="BA4" s="82" t="s">
        <v>129</v>
      </c>
      <c r="BB4" s="82" t="s">
        <v>85</v>
      </c>
      <c r="BC4" s="82" t="s">
        <v>127</v>
      </c>
      <c r="BD4" s="82" t="s">
        <v>124</v>
      </c>
      <c r="BF4" s="82" t="s">
        <v>148</v>
      </c>
      <c r="BG4" s="105"/>
      <c r="BI4" s="82" t="s">
        <v>63</v>
      </c>
      <c r="BL4" s="82" t="s">
        <v>68</v>
      </c>
      <c r="BP4"/>
      <c r="CB4" s="82" t="s">
        <v>91</v>
      </c>
      <c r="CJ4" s="52"/>
      <c r="CK4" s="52" t="s">
        <v>134</v>
      </c>
      <c r="CL4" s="52" t="s">
        <v>100</v>
      </c>
      <c r="CM4" s="52"/>
      <c r="CN4" s="52"/>
      <c r="CO4" s="52"/>
      <c r="CQ4" s="52"/>
      <c r="CR4" s="52"/>
      <c r="CS4" s="52"/>
      <c r="CT4" s="52"/>
      <c r="CU4" s="52"/>
      <c r="CV4" s="52"/>
      <c r="CW4" s="52"/>
    </row>
    <row r="5" spans="1:106" s="81" customFormat="1" x14ac:dyDescent="0.2">
      <c r="A5" s="80">
        <v>1982</v>
      </c>
      <c r="B5" s="80"/>
      <c r="C5" s="80"/>
      <c r="D5" s="80"/>
      <c r="E5" s="80"/>
      <c r="F5" s="80"/>
      <c r="G5" s="80"/>
      <c r="H5"/>
      <c r="I5"/>
      <c r="J5"/>
      <c r="K5" s="80"/>
      <c r="L5" s="1"/>
      <c r="M5" s="1"/>
      <c r="N5" s="1"/>
      <c r="O5" s="53">
        <f>102.041+46.05-25.713-4.981</f>
        <v>117.39700000000002</v>
      </c>
      <c r="P5" s="55">
        <f>WrightZucman!O26</f>
        <v>53.575000000000003</v>
      </c>
      <c r="Q5" s="54">
        <f>P5/(P5+O5)</f>
        <v>0.31335540322391964</v>
      </c>
      <c r="R5" s="53">
        <f>BC5/(1-Y5)</f>
        <v>63.745991502626069</v>
      </c>
      <c r="S5" s="53"/>
      <c r="T5" s="54">
        <f>R5/(R5+O5)</f>
        <v>0.35190978670406864</v>
      </c>
      <c r="U5" s="56">
        <f>T5</f>
        <v>0.35190978670406864</v>
      </c>
      <c r="V5" s="53">
        <v>30.155999999999999</v>
      </c>
      <c r="W5" s="53">
        <f>46.05</f>
        <v>46.05</v>
      </c>
      <c r="X5" s="56">
        <f>W5/O5</f>
        <v>0.39225874596454757</v>
      </c>
      <c r="Y5" s="115">
        <f t="shared" ref="Y5:Y43" si="0">V5/P5</f>
        <v>0.56287447503499766</v>
      </c>
      <c r="Z5" s="56">
        <f>(V5+W5)/(O5+P5)</f>
        <v>0.44572210654376138</v>
      </c>
      <c r="AA5" s="54">
        <f t="shared" ref="AA5:AA43" si="1">V5/(P5/(1-BE5))</f>
        <v>0.50041467781802029</v>
      </c>
      <c r="AB5" s="54">
        <f>(V5+W5)/(P5/(1-BE5)+O5)</f>
        <v>0.42894528754947375</v>
      </c>
      <c r="AC5" s="83"/>
      <c r="AD5" s="55">
        <f t="shared" ref="AD5:AD43" si="2">BB5-0.5*AP5+AI5</f>
        <v>253.2567666606908</v>
      </c>
      <c r="AE5" s="53">
        <f t="shared" ref="AE5:AE43" si="3">0.5*AP5</f>
        <v>1.4732248419352967</v>
      </c>
      <c r="AF5" s="53">
        <f>AD5-AE5</f>
        <v>251.78354181875551</v>
      </c>
      <c r="AG5" s="55">
        <f>AD5</f>
        <v>253.2567666606908</v>
      </c>
      <c r="AH5" s="53">
        <f>AG5-AI5</f>
        <v>186.03277515806474</v>
      </c>
      <c r="AI5" s="53">
        <f t="shared" ref="AI5:AI43" si="4">BC5/(1-Y5)+BD5</f>
        <v>67.223991502626063</v>
      </c>
      <c r="AJ5" s="53"/>
      <c r="AK5" s="55">
        <f>AL5+AM5</f>
        <v>254.72999150262609</v>
      </c>
      <c r="AL5" s="53">
        <f t="shared" ref="AL5:AL43" si="5">BB5</f>
        <v>187.50600000000003</v>
      </c>
      <c r="AM5" s="53">
        <f>AI5</f>
        <v>67.223991502626063</v>
      </c>
      <c r="AN5" s="55">
        <f>AK5</f>
        <v>254.72999150262609</v>
      </c>
      <c r="AO5" s="53">
        <f>AN5-AP5</f>
        <v>251.78354181875551</v>
      </c>
      <c r="AP5" s="53">
        <v>2.9464496838705934</v>
      </c>
      <c r="AQ5" s="53">
        <f t="shared" ref="AQ5:AQ43" si="6">AF5-AO5</f>
        <v>0</v>
      </c>
      <c r="AR5" s="56">
        <f>Data!AM5/Data!AK5</f>
        <v>0.2639029315161463</v>
      </c>
      <c r="AS5" s="56">
        <f>Data!AI5/Data!AG5</f>
        <v>0.26543808636983685</v>
      </c>
      <c r="AT5" s="56"/>
      <c r="AV5" s="53">
        <f>'[1]Assets(BoP)'!$D74</f>
        <v>229.9</v>
      </c>
      <c r="AW5" s="53">
        <v>15.2</v>
      </c>
      <c r="AX5" s="53">
        <f>'[1]Assets(BoP)'!$CI74</f>
        <v>0</v>
      </c>
      <c r="AY5" s="53">
        <f t="shared" ref="AY5:AY43" si="7">BK5</f>
        <v>4.149</v>
      </c>
      <c r="AZ5" s="53">
        <f>AV5-AW5-AX5+AY5</f>
        <v>218.84900000000002</v>
      </c>
      <c r="BA5" s="53">
        <v>31.343</v>
      </c>
      <c r="BB5" s="53">
        <f>AZ5-BA5</f>
        <v>187.50600000000003</v>
      </c>
      <c r="BC5" s="53">
        <f>BA5-BD5</f>
        <v>27.864999999999998</v>
      </c>
      <c r="BD5" s="53">
        <v>3.4780000000000002</v>
      </c>
      <c r="BE5" s="96">
        <f t="shared" ref="BE5:BE43" si="8">BD5/BA5</f>
        <v>0.11096576588073893</v>
      </c>
      <c r="BF5" s="53">
        <v>29.469000000000001</v>
      </c>
      <c r="BG5" s="106">
        <f>BC5/(1-Y5)</f>
        <v>63.745991502626069</v>
      </c>
      <c r="BI5" s="81">
        <f>'[1]Assets(BoP)'!$Q74</f>
        <v>4.0999999999999996</v>
      </c>
      <c r="BK5" s="78">
        <f t="shared" ref="BK5:BK20" si="9">BI5-BL5</f>
        <v>4.149</v>
      </c>
      <c r="BL5" s="81">
        <v>-4.9000000000000002E-2</v>
      </c>
      <c r="BM5" s="81">
        <v>0</v>
      </c>
      <c r="BP5">
        <v>1982</v>
      </c>
      <c r="BQ5" s="56">
        <f>Data!AR5*WrightZucman!B26</f>
        <v>3.9534949665862629E-2</v>
      </c>
      <c r="BR5" s="67">
        <f>$BQ5*WrightZucman!C26/WrightZucman!$B26</f>
        <v>3.7190240465644507E-3</v>
      </c>
      <c r="BS5" s="73">
        <f>WrightZucman!C26*Data!AS5-BR5</f>
        <v>2.1634006804225128E-5</v>
      </c>
      <c r="BT5" s="67">
        <f>$BQ5*WrightZucman!D26/WrightZucman!$B26</f>
        <v>4.9554148223097186E-3</v>
      </c>
      <c r="BU5" s="67">
        <f>$BQ5*WrightZucman!E26/WrightZucman!$B26</f>
        <v>7.1917551099127137E-3</v>
      </c>
      <c r="BV5" s="67">
        <f>$BQ5*WrightZucman!F26/WrightZucman!$B26</f>
        <v>2.058516753720906E-2</v>
      </c>
      <c r="BW5" s="67">
        <f>$BQ5*WrightZucman!G26/WrightZucman!$B26</f>
        <v>3.0835881498666841E-3</v>
      </c>
      <c r="BX5" s="71">
        <f t="shared" ref="BX5:BX43" si="10">BQ5-BR5-BT5-BU5-BV5-BW5</f>
        <v>6.0715321659188248E-18</v>
      </c>
      <c r="BY5" s="71"/>
      <c r="BZ5" s="67">
        <f>Data!AR5*WrightZucman!B26</f>
        <v>3.9534949665862629E-2</v>
      </c>
      <c r="CA5" s="67"/>
      <c r="CB5" s="73">
        <f>Data!Q5*WrightZucman!B26</f>
        <v>4.6943359146526906E-2</v>
      </c>
      <c r="CC5" s="73">
        <f>WrightZucman!C26*Data!$Q5</f>
        <v>4.4159277542521573E-3</v>
      </c>
      <c r="CD5" s="73">
        <f>WrightZucman!D26*Data!$Q5</f>
        <v>5.88400439838102E-3</v>
      </c>
      <c r="CE5" s="73">
        <f>WrightZucman!E26*Data!$Q5</f>
        <v>8.5394099618650993E-3</v>
      </c>
      <c r="CF5" s="73">
        <f>WrightZucman!F26*Data!$Q5</f>
        <v>2.444259878810565E-2</v>
      </c>
      <c r="CG5" s="73">
        <f>WrightZucman!G26*Data!$Q5</f>
        <v>3.6614182439229808E-3</v>
      </c>
      <c r="CH5" s="71">
        <f>CB5-CC5-CD5-CE5-CF5-CG5</f>
        <v>-5.6378512969246231E-18</v>
      </c>
      <c r="CI5" s="71"/>
      <c r="CJ5" s="53">
        <f>CK5+CL5</f>
        <v>47.8</v>
      </c>
      <c r="CK5" s="53">
        <v>33.799999999999997</v>
      </c>
      <c r="CL5" s="53">
        <v>14</v>
      </c>
      <c r="CM5" s="53">
        <f t="shared" ref="CM5:CM43" si="11">BC5*Y5/(1-Y5)</f>
        <v>35.880991502626067</v>
      </c>
      <c r="CN5" s="56">
        <f t="shared" ref="CN5:CN43" si="12">(CJ5+CM5)/AD5</f>
        <v>0.33041956827451902</v>
      </c>
      <c r="CO5" s="56">
        <f>'[1]Assets(BoP)'!$BN74</f>
        <v>0.29823491073008712</v>
      </c>
      <c r="CQ5" s="54">
        <f>(O5+P5)/AD5</f>
        <v>0.67509351183127708</v>
      </c>
      <c r="CR5" s="54">
        <f t="shared" ref="CR5:CR43" si="13">P5/AI5</f>
        <v>0.79696249512210426</v>
      </c>
      <c r="CS5" s="54">
        <f>O5/AL5</f>
        <v>0.62609729821979032</v>
      </c>
      <c r="CT5" s="54">
        <f>O5/(AL5-0.5*AP5)</f>
        <v>0.63105546804993051</v>
      </c>
      <c r="CU5" s="54">
        <f>(O5+P5)/AD5</f>
        <v>0.67509351183127708</v>
      </c>
      <c r="CV5" s="54"/>
      <c r="CW5" s="54"/>
      <c r="CX5" s="97"/>
      <c r="CY5" s="97"/>
      <c r="CZ5" s="57">
        <f t="shared" ref="CZ5:CZ43" si="14">P5/(BC5/(1-Y5))</f>
        <v>0.84044500269154865</v>
      </c>
      <c r="DA5" s="57">
        <f t="shared" ref="DA5:DA43" si="15">(P5-V5)/BC5</f>
        <v>0.84044500269154876</v>
      </c>
    </row>
    <row r="6" spans="1:106" s="81" customFormat="1" x14ac:dyDescent="0.2">
      <c r="A6" s="80">
        <v>1983</v>
      </c>
      <c r="B6" s="80"/>
      <c r="C6" s="80"/>
      <c r="D6" s="80"/>
      <c r="E6" s="80"/>
      <c r="F6" s="80"/>
      <c r="G6" s="80"/>
      <c r="H6"/>
      <c r="I6"/>
      <c r="J6"/>
      <c r="K6" s="80"/>
      <c r="L6" s="1"/>
      <c r="M6" s="1"/>
      <c r="N6" s="1"/>
      <c r="O6" s="53"/>
      <c r="P6" s="55">
        <f>WrightZucman!O27</f>
        <v>58.033999999999999</v>
      </c>
      <c r="Q6" s="1"/>
      <c r="R6" s="1"/>
      <c r="S6" s="1"/>
      <c r="T6" s="54"/>
      <c r="U6" s="72">
        <f>U5+(U$12-U$5)/7</f>
        <v>0.353702177046614</v>
      </c>
      <c r="V6" s="53">
        <v>30.122</v>
      </c>
      <c r="W6" s="54"/>
      <c r="X6" s="56"/>
      <c r="Y6" s="54">
        <f t="shared" si="0"/>
        <v>0.51904056242892094</v>
      </c>
      <c r="Z6" s="56"/>
      <c r="AA6" s="54">
        <f t="shared" si="1"/>
        <v>0.47489911050249439</v>
      </c>
      <c r="AB6" s="54"/>
      <c r="AD6" s="55">
        <f t="shared" si="2"/>
        <v>301.02016389623077</v>
      </c>
      <c r="AE6" s="53">
        <f t="shared" si="3"/>
        <v>3.2879000189311962</v>
      </c>
      <c r="AF6" s="53">
        <f t="shared" ref="AF6:AF43" si="16">AD6-AE6</f>
        <v>297.7322638772996</v>
      </c>
      <c r="AG6" s="55">
        <f t="shared" ref="AG6:AG43" si="17">AD6</f>
        <v>301.02016389623077</v>
      </c>
      <c r="AH6" s="53">
        <f t="shared" ref="AH6:AH43" si="18">AG6-AI6</f>
        <v>230.84309998106883</v>
      </c>
      <c r="AI6" s="53">
        <f t="shared" si="4"/>
        <v>70.177063915161938</v>
      </c>
      <c r="AJ6" s="53"/>
      <c r="AK6" s="55">
        <f t="shared" ref="AK6:AK43" si="19">AL6+AM6</f>
        <v>304.30806391516194</v>
      </c>
      <c r="AL6" s="53">
        <f t="shared" si="5"/>
        <v>234.131</v>
      </c>
      <c r="AM6" s="53">
        <f t="shared" ref="AM6:AM43" si="20">AI6</f>
        <v>70.177063915161938</v>
      </c>
      <c r="AN6" s="55">
        <f t="shared" ref="AN6:AN43" si="21">AK6</f>
        <v>304.30806391516194</v>
      </c>
      <c r="AO6" s="53">
        <f t="shared" ref="AO6:AO43" si="22">AN6-AP6</f>
        <v>297.73226387729954</v>
      </c>
      <c r="AP6" s="53">
        <v>6.5758000378623924</v>
      </c>
      <c r="AQ6" s="53">
        <f t="shared" si="6"/>
        <v>0</v>
      </c>
      <c r="AR6" s="56">
        <f>Data!AM6/Data!AK6</f>
        <v>0.23061191022110608</v>
      </c>
      <c r="AS6" s="56">
        <f>Data!AI6/Data!AG6</f>
        <v>0.2331307743867741</v>
      </c>
      <c r="AT6" s="56"/>
      <c r="AV6" s="53">
        <f>'[1]Assets(BoP)'!$D75</f>
        <v>279.8</v>
      </c>
      <c r="AW6" s="53">
        <v>14.6</v>
      </c>
      <c r="AX6" s="53">
        <f>'[1]Assets(BoP)'!$CI75</f>
        <v>0</v>
      </c>
      <c r="AY6" s="53">
        <f t="shared" si="7"/>
        <v>4.2420000000000009</v>
      </c>
      <c r="AZ6" s="53">
        <f t="shared" ref="AZ6:AZ43" si="23">AV6-AW6-AX6+AY6</f>
        <v>269.44200000000001</v>
      </c>
      <c r="BA6" s="53">
        <v>35.311</v>
      </c>
      <c r="BB6" s="53">
        <f t="shared" ref="BB6:BB43" si="24">AZ6-BA6</f>
        <v>234.131</v>
      </c>
      <c r="BC6" s="53">
        <f>BA6-BD6</f>
        <v>32.308</v>
      </c>
      <c r="BD6" s="53">
        <v>3.0030000000000001</v>
      </c>
      <c r="BE6" s="96">
        <f t="shared" si="8"/>
        <v>8.5044320466710094E-2</v>
      </c>
      <c r="BF6" s="53">
        <v>31.75</v>
      </c>
      <c r="BG6" s="106">
        <f t="shared" ref="BG6:BG43" si="25">BC6/(1-Y6)</f>
        <v>67.174063915161938</v>
      </c>
      <c r="BI6" s="81">
        <f>'[1]Assets(BoP)'!$Q75</f>
        <v>6.1000000000000005</v>
      </c>
      <c r="BK6" s="78">
        <f t="shared" si="9"/>
        <v>4.2420000000000009</v>
      </c>
      <c r="BL6" s="81">
        <v>1.8580000000000001</v>
      </c>
      <c r="BM6" s="81">
        <v>0</v>
      </c>
      <c r="BP6">
        <v>1983</v>
      </c>
      <c r="BQ6" s="56">
        <f>Data!AR6*WrightZucman!B27</f>
        <v>3.228662112807125E-2</v>
      </c>
      <c r="BR6" s="67">
        <f>$BQ6*WrightZucman!C27/WrightZucman!$B27</f>
        <v>3.794919775668682E-3</v>
      </c>
      <c r="BS6" s="73">
        <f>WrightZucman!C27*Data!AS6-BR6</f>
        <v>4.1450103012250807E-5</v>
      </c>
      <c r="BT6" s="67">
        <f>$BQ6*WrightZucman!D27/WrightZucman!$B27</f>
        <v>6.191083780619693E-3</v>
      </c>
      <c r="BU6" s="67">
        <f>$BQ6*WrightZucman!E27/WrightZucman!$B27</f>
        <v>4.9314088393767894E-3</v>
      </c>
      <c r="BV6" s="67">
        <f>$BQ6*WrightZucman!F27/WrightZucman!$B27</f>
        <v>1.4468380003360912E-2</v>
      </c>
      <c r="BW6" s="67">
        <f>$BQ6*WrightZucman!G27/WrightZucman!$B27</f>
        <v>2.9008287290451704E-3</v>
      </c>
      <c r="BX6" s="71">
        <f t="shared" si="10"/>
        <v>0</v>
      </c>
      <c r="BY6" s="71"/>
      <c r="BZ6" s="67">
        <f>Data!AR6*WrightZucman!B27</f>
        <v>3.228662112807125E-2</v>
      </c>
      <c r="CA6" s="67"/>
      <c r="CB6" s="73"/>
      <c r="CC6" s="73"/>
      <c r="CD6" s="73"/>
      <c r="CE6" s="73"/>
      <c r="CF6" s="73"/>
      <c r="CG6" s="74"/>
      <c r="CH6"/>
      <c r="CI6"/>
      <c r="CJ6" s="53">
        <f t="shared" ref="CJ6:CJ43" si="26">CK6+CL6</f>
        <v>63</v>
      </c>
      <c r="CK6" s="53">
        <v>47.1</v>
      </c>
      <c r="CL6" s="53">
        <v>15.9</v>
      </c>
      <c r="CM6" s="53">
        <f t="shared" si="11"/>
        <v>34.866063915161931</v>
      </c>
      <c r="CN6" s="56">
        <f t="shared" si="12"/>
        <v>0.32511464563848563</v>
      </c>
      <c r="CO6" s="56">
        <f>'[1]Assets(BoP)'!$BN75</f>
        <v>0.30131738102566513</v>
      </c>
      <c r="CQ6" s="57"/>
      <c r="CR6" s="54">
        <f t="shared" si="13"/>
        <v>0.82696534682839018</v>
      </c>
      <c r="CS6" s="54"/>
      <c r="CT6" s="54"/>
      <c r="CU6" s="54"/>
      <c r="CV6" s="54"/>
      <c r="CW6" s="54"/>
      <c r="CX6" s="97"/>
      <c r="CY6" s="97"/>
      <c r="CZ6" s="57">
        <f t="shared" si="14"/>
        <v>0.86393462919400765</v>
      </c>
      <c r="DA6" s="57">
        <f t="shared" si="15"/>
        <v>0.86393462919400765</v>
      </c>
    </row>
    <row r="7" spans="1:106" x14ac:dyDescent="0.2">
      <c r="A7" s="85">
        <v>1984</v>
      </c>
      <c r="B7" s="99">
        <v>148424.93900000001</v>
      </c>
      <c r="C7" s="99">
        <v>47432.282999999967</v>
      </c>
      <c r="D7" s="67">
        <v>0.31957084381890832</v>
      </c>
      <c r="E7" s="99">
        <v>143785.12699999989</v>
      </c>
      <c r="F7" s="99">
        <v>47667.633999999976</v>
      </c>
      <c r="G7" s="67">
        <v>0.33151992138936592</v>
      </c>
      <c r="H7" s="99">
        <v>143785.12699999989</v>
      </c>
      <c r="I7" s="99">
        <v>47667.633999999976</v>
      </c>
      <c r="J7" s="67">
        <v>0.33151992138936592</v>
      </c>
      <c r="K7" s="98">
        <f>C7/B7-D7</f>
        <v>0</v>
      </c>
      <c r="L7" s="98">
        <f>I7/H7-J7</f>
        <v>0</v>
      </c>
      <c r="M7" s="98">
        <f>F7/E7-G7</f>
        <v>0</v>
      </c>
      <c r="N7" s="98"/>
      <c r="O7" s="53"/>
      <c r="P7" s="55">
        <f>WrightZucman!O28</f>
        <v>64.460000000000008</v>
      </c>
      <c r="Q7" s="76"/>
      <c r="R7" s="76"/>
      <c r="S7" s="76"/>
      <c r="T7" s="54"/>
      <c r="U7" s="72">
        <f t="shared" ref="U7:U11" si="27">U6+(U$12-U$5)/7</f>
        <v>0.35549456738915935</v>
      </c>
      <c r="V7" s="53">
        <v>33.587000000000003</v>
      </c>
      <c r="W7" s="45"/>
      <c r="X7" s="56"/>
      <c r="Y7" s="54">
        <f t="shared" si="0"/>
        <v>0.5210518150791188</v>
      </c>
      <c r="Z7" s="56"/>
      <c r="AA7" s="54">
        <f t="shared" si="1"/>
        <v>0.47687751100669606</v>
      </c>
      <c r="AB7" s="54"/>
      <c r="AD7" s="55">
        <f t="shared" si="2"/>
        <v>359.02107513131625</v>
      </c>
      <c r="AE7" s="53">
        <f t="shared" si="3"/>
        <v>6.0504770016154321</v>
      </c>
      <c r="AF7" s="53">
        <f t="shared" si="16"/>
        <v>352.97059812970082</v>
      </c>
      <c r="AG7" s="55">
        <f t="shared" si="17"/>
        <v>359.02107513131625</v>
      </c>
      <c r="AH7" s="53">
        <f t="shared" si="18"/>
        <v>279.88052299838455</v>
      </c>
      <c r="AI7" s="53">
        <f t="shared" si="4"/>
        <v>79.140552132931674</v>
      </c>
      <c r="AJ7" s="53"/>
      <c r="AK7" s="55">
        <f t="shared" si="19"/>
        <v>365.07155213293163</v>
      </c>
      <c r="AL7" s="53">
        <f t="shared" si="5"/>
        <v>285.93099999999998</v>
      </c>
      <c r="AM7" s="53">
        <f t="shared" si="20"/>
        <v>79.140552132931674</v>
      </c>
      <c r="AN7" s="55">
        <f t="shared" si="21"/>
        <v>365.07155213293163</v>
      </c>
      <c r="AO7" s="53">
        <f t="shared" si="22"/>
        <v>352.97059812970076</v>
      </c>
      <c r="AP7" s="53">
        <v>12.100954003230864</v>
      </c>
      <c r="AQ7" s="53">
        <f t="shared" si="6"/>
        <v>0</v>
      </c>
      <c r="AR7" s="56">
        <f>Data!AM7/Data!AK7</f>
        <v>0.21678093423207798</v>
      </c>
      <c r="AS7" s="56">
        <f>Data!AI7/Data!AG7</f>
        <v>0.22043427980929831</v>
      </c>
      <c r="AT7" s="56"/>
      <c r="AV7" s="53">
        <f>'[1]Assets(BoP)'!$D76</f>
        <v>337.9</v>
      </c>
      <c r="AW7" s="53">
        <v>16.399999999999999</v>
      </c>
      <c r="AX7" s="53">
        <f>'[1]Assets(BoP)'!$CI76</f>
        <v>0</v>
      </c>
      <c r="AY7" s="53">
        <f t="shared" si="7"/>
        <v>4.0870000000000015</v>
      </c>
      <c r="AZ7" s="53">
        <f t="shared" si="23"/>
        <v>325.58699999999999</v>
      </c>
      <c r="BA7" s="53">
        <v>39.655999999999999</v>
      </c>
      <c r="BB7" s="53">
        <f t="shared" si="24"/>
        <v>285.93099999999998</v>
      </c>
      <c r="BC7" s="53">
        <f t="shared" ref="BC7:BC38" si="28">BA7-BD7</f>
        <v>36.293999999999997</v>
      </c>
      <c r="BD7" s="53">
        <v>3.3620000000000001</v>
      </c>
      <c r="BE7" s="96">
        <f t="shared" si="8"/>
        <v>8.4779100262255408E-2</v>
      </c>
      <c r="BF7" s="53">
        <v>35.326000000000001</v>
      </c>
      <c r="BG7" s="106">
        <f t="shared" si="25"/>
        <v>75.778552132931679</v>
      </c>
      <c r="BI7" s="81">
        <f>'[1]Assets(BoP)'!$Q76</f>
        <v>9.6000000000000014</v>
      </c>
      <c r="BK7" s="78">
        <f t="shared" si="9"/>
        <v>4.0870000000000015</v>
      </c>
      <c r="BL7" s="81">
        <v>5.5129999999999999</v>
      </c>
      <c r="BM7" s="78">
        <v>0</v>
      </c>
      <c r="BP7">
        <v>1984</v>
      </c>
      <c r="BQ7" s="56">
        <f>Data!AR7*WrightZucman!B28</f>
        <v>2.8885067392480882E-2</v>
      </c>
      <c r="BR7" s="67">
        <f>$BQ7*WrightZucman!C28/WrightZucman!$B28</f>
        <v>3.7195115305721101E-3</v>
      </c>
      <c r="BS7" s="73">
        <f>WrightZucman!C28*Data!AS7-BR7</f>
        <v>6.2683838169495625E-5</v>
      </c>
      <c r="BT7" s="67">
        <f>$BQ7*WrightZucman!D28/WrightZucman!$B28</f>
        <v>5.3135879008173008E-3</v>
      </c>
      <c r="BU7" s="67">
        <f>$BQ7*WrightZucman!E28/WrightZucman!$B28</f>
        <v>5.0445454754594636E-3</v>
      </c>
      <c r="BV7" s="67">
        <f>$BQ7*WrightZucman!F28/WrightZucman!$B28</f>
        <v>1.234232126329082E-2</v>
      </c>
      <c r="BW7" s="67">
        <f>$BQ7*WrightZucman!G28/WrightZucman!$B28</f>
        <v>2.465101222341191E-3</v>
      </c>
      <c r="BX7" s="71">
        <f t="shared" si="10"/>
        <v>0</v>
      </c>
      <c r="BY7" s="71"/>
      <c r="BZ7" s="67">
        <f>Data!AR7*WrightZucman!B28</f>
        <v>2.8885067392480882E-2</v>
      </c>
      <c r="CA7" s="67">
        <f>Data!D7*WrightZucman!B28</f>
        <v>4.2581352428802413E-2</v>
      </c>
      <c r="CB7" s="73"/>
      <c r="CC7" s="73"/>
      <c r="CD7" s="73"/>
      <c r="CE7" s="73"/>
      <c r="CF7" s="73"/>
      <c r="CG7" s="74"/>
      <c r="CH7"/>
      <c r="CI7"/>
      <c r="CJ7" s="53">
        <f t="shared" si="26"/>
        <v>78</v>
      </c>
      <c r="CK7" s="53">
        <v>59.2</v>
      </c>
      <c r="CL7" s="53">
        <v>18.8</v>
      </c>
      <c r="CM7" s="53">
        <f t="shared" si="11"/>
        <v>39.484552132931682</v>
      </c>
      <c r="CN7" s="56">
        <f t="shared" si="12"/>
        <v>0.32723580945759329</v>
      </c>
      <c r="CO7" s="56">
        <f>'[1]Assets(BoP)'!$BN76</f>
        <v>0.30129274614967222</v>
      </c>
      <c r="CQ7" s="54"/>
      <c r="CR7" s="54">
        <f t="shared" si="13"/>
        <v>0.81450025635058909</v>
      </c>
      <c r="CS7" s="54"/>
      <c r="CT7" s="54"/>
      <c r="CU7" s="54"/>
      <c r="CV7" s="54">
        <f t="shared" ref="CV7:CV42" si="29">(E7/1000000000)/AD7</f>
        <v>4.004921631617552E-7</v>
      </c>
      <c r="CW7" s="54">
        <f>(F7/1000)/(BC7/(1-Y7))</f>
        <v>0.62903859546406771</v>
      </c>
      <c r="CX7" s="54"/>
      <c r="CY7" s="54">
        <f t="shared" ref="CY7:CY43" si="30">(F7/1000000000)/P7</f>
        <v>7.3949168476574572E-7</v>
      </c>
      <c r="CZ7" s="57">
        <f t="shared" si="14"/>
        <v>0.85063646883782462</v>
      </c>
      <c r="DA7" s="57">
        <f t="shared" si="15"/>
        <v>0.85063646883782462</v>
      </c>
      <c r="DB7" s="81">
        <f t="shared" ref="DB7:DB42" si="31">(F7/1000)/P7</f>
        <v>0.73949168476574578</v>
      </c>
    </row>
    <row r="8" spans="1:106" x14ac:dyDescent="0.2">
      <c r="A8" s="85">
        <v>1985</v>
      </c>
      <c r="B8" s="99">
        <v>140025.5419999999</v>
      </c>
      <c r="C8" s="99">
        <v>49873.311000000031</v>
      </c>
      <c r="D8" s="67">
        <v>0.35617295450282982</v>
      </c>
      <c r="E8" s="99">
        <v>131427.7350000001</v>
      </c>
      <c r="F8" s="99">
        <v>50738.892000000043</v>
      </c>
      <c r="G8" s="67">
        <v>0.38605924388790541</v>
      </c>
      <c r="H8" s="99">
        <v>131427.7350000001</v>
      </c>
      <c r="I8" s="99">
        <v>50738.892000000043</v>
      </c>
      <c r="J8" s="67">
        <v>0.38605924388790541</v>
      </c>
      <c r="K8" s="98">
        <f t="shared" ref="K8:K43" si="32">C8/B8-D8</f>
        <v>0</v>
      </c>
      <c r="L8" s="98">
        <f t="shared" ref="L8:L43" si="33">I8/H8-J8</f>
        <v>0</v>
      </c>
      <c r="M8" s="98">
        <f t="shared" ref="M8:M43" si="34">F8/E8-G8</f>
        <v>0</v>
      </c>
      <c r="N8" s="98"/>
      <c r="O8" s="53"/>
      <c r="P8" s="55">
        <f>WrightZucman!O29</f>
        <v>62.680999999999997</v>
      </c>
      <c r="Q8" s="76"/>
      <c r="R8" s="76"/>
      <c r="S8" s="76"/>
      <c r="T8" s="54"/>
      <c r="U8" s="72">
        <f t="shared" si="27"/>
        <v>0.35728695773170471</v>
      </c>
      <c r="V8" s="53">
        <v>33.104999999999997</v>
      </c>
      <c r="W8" s="45"/>
      <c r="X8" s="56"/>
      <c r="Y8" s="54">
        <f t="shared" si="0"/>
        <v>0.52815047622086431</v>
      </c>
      <c r="Z8" s="56"/>
      <c r="AA8" s="54">
        <f t="shared" si="1"/>
        <v>0.45405905975375443</v>
      </c>
      <c r="AB8" s="54"/>
      <c r="AD8" s="55">
        <f t="shared" si="2"/>
        <v>374.39414401831664</v>
      </c>
      <c r="AE8" s="53">
        <f t="shared" si="3"/>
        <v>6.5841638326435579</v>
      </c>
      <c r="AF8" s="53">
        <f t="shared" si="16"/>
        <v>367.80998018567306</v>
      </c>
      <c r="AG8" s="55">
        <f t="shared" si="17"/>
        <v>374.39414401831664</v>
      </c>
      <c r="AH8" s="53">
        <f t="shared" si="18"/>
        <v>296.91483616735638</v>
      </c>
      <c r="AI8" s="53">
        <f t="shared" si="4"/>
        <v>77.479307850960225</v>
      </c>
      <c r="AJ8" s="53"/>
      <c r="AK8" s="55">
        <f t="shared" si="19"/>
        <v>380.97830785096028</v>
      </c>
      <c r="AL8" s="53">
        <f t="shared" si="5"/>
        <v>303.49900000000002</v>
      </c>
      <c r="AM8" s="53">
        <f t="shared" si="20"/>
        <v>77.479307850960225</v>
      </c>
      <c r="AN8" s="55">
        <f t="shared" si="21"/>
        <v>380.97830785096028</v>
      </c>
      <c r="AO8" s="53">
        <f t="shared" si="22"/>
        <v>367.80998018567317</v>
      </c>
      <c r="AP8" s="53">
        <v>13.168327665287116</v>
      </c>
      <c r="AQ8" s="53">
        <f t="shared" si="6"/>
        <v>0</v>
      </c>
      <c r="AR8" s="56">
        <f>Data!AM8/Data!AK8</f>
        <v>0.20336934217596014</v>
      </c>
      <c r="AS8" s="56">
        <f>Data!AI8/Data!AG8</f>
        <v>0.20694583259071936</v>
      </c>
      <c r="AT8" s="56"/>
      <c r="AV8" s="53">
        <f>'[1]Assets(BoP)'!$D77</f>
        <v>354.5</v>
      </c>
      <c r="AW8" s="53">
        <v>16.3</v>
      </c>
      <c r="AX8" s="53">
        <f>'[1]Assets(BoP)'!$CI77</f>
        <v>0</v>
      </c>
      <c r="AY8" s="53">
        <f t="shared" si="7"/>
        <v>4.7829999999999995</v>
      </c>
      <c r="AZ8" s="53">
        <f t="shared" si="23"/>
        <v>342.983</v>
      </c>
      <c r="BA8" s="53">
        <v>39.484000000000002</v>
      </c>
      <c r="BB8" s="53">
        <f t="shared" si="24"/>
        <v>303.49900000000002</v>
      </c>
      <c r="BC8" s="53">
        <f t="shared" si="28"/>
        <v>33.945</v>
      </c>
      <c r="BD8" s="53">
        <v>5.5389999999999997</v>
      </c>
      <c r="BE8" s="96">
        <f t="shared" si="8"/>
        <v>0.14028467227231281</v>
      </c>
      <c r="BF8" s="53">
        <v>35.409999999999997</v>
      </c>
      <c r="BG8" s="106">
        <f t="shared" si="25"/>
        <v>71.940307850960224</v>
      </c>
      <c r="BI8" s="81">
        <f>'[1]Assets(BoP)'!$Q77</f>
        <v>8.6999999999999993</v>
      </c>
      <c r="BK8" s="78">
        <f t="shared" si="9"/>
        <v>4.7829999999999995</v>
      </c>
      <c r="BL8" s="81">
        <v>3.9169999999999998</v>
      </c>
      <c r="BM8" s="78">
        <v>0</v>
      </c>
      <c r="BP8">
        <v>1985</v>
      </c>
      <c r="BQ8" s="56">
        <f>Data!AR8*WrightZucman!B29</f>
        <v>2.8554962117557554E-2</v>
      </c>
      <c r="BR8" s="67">
        <f>$BQ8*WrightZucman!C29/WrightZucman!$B29</f>
        <v>3.6078988608935353E-3</v>
      </c>
      <c r="BS8" s="73">
        <f>WrightZucman!C29*Data!AS8-BR8</f>
        <v>6.3449168666936465E-5</v>
      </c>
      <c r="BT8" s="67">
        <f>$BQ8*WrightZucman!D29/WrightZucman!$B29</f>
        <v>5.9699045899677195E-3</v>
      </c>
      <c r="BU8" s="67">
        <f>$BQ8*WrightZucman!E29/WrightZucman!$B29</f>
        <v>5.6162526332794145E-3</v>
      </c>
      <c r="BV8" s="67">
        <f>$BQ8*WrightZucman!F29/WrightZucman!$B29</f>
        <v>1.17029597043552E-2</v>
      </c>
      <c r="BW8" s="67">
        <f>$BQ8*WrightZucman!G29/WrightZucman!$B29</f>
        <v>1.6579463290616874E-3</v>
      </c>
      <c r="BX8" s="71">
        <f t="shared" si="10"/>
        <v>0</v>
      </c>
      <c r="BY8" s="71"/>
      <c r="BZ8" s="67">
        <f>Data!AR8*WrightZucman!B29</f>
        <v>2.8554962117557554E-2</v>
      </c>
      <c r="CA8" s="67">
        <f>Data!D8*WrightZucman!B29</f>
        <v>5.0010021738316313E-2</v>
      </c>
      <c r="CB8" s="73"/>
      <c r="CC8" s="73"/>
      <c r="CD8" s="73"/>
      <c r="CE8" s="73"/>
      <c r="CF8" s="73"/>
      <c r="CG8" s="74"/>
      <c r="CH8"/>
      <c r="CI8"/>
      <c r="CJ8" s="53">
        <f t="shared" si="26"/>
        <v>78.7</v>
      </c>
      <c r="CK8" s="53">
        <v>58.5</v>
      </c>
      <c r="CL8" s="53">
        <v>20.2</v>
      </c>
      <c r="CM8" s="53">
        <f t="shared" si="11"/>
        <v>37.995307850960231</v>
      </c>
      <c r="CN8" s="56">
        <f t="shared" si="12"/>
        <v>0.3116910606519826</v>
      </c>
      <c r="CO8" s="56">
        <f>'[1]Assets(BoP)'!$BN77</f>
        <v>0.29848576049633102</v>
      </c>
      <c r="CQ8" s="54"/>
      <c r="CR8" s="54">
        <f t="shared" si="13"/>
        <v>0.80900309693748995</v>
      </c>
      <c r="CS8" s="54"/>
      <c r="CT8" s="54"/>
      <c r="CU8" s="54"/>
      <c r="CV8" s="54">
        <f t="shared" si="29"/>
        <v>3.5104110761297116E-7</v>
      </c>
      <c r="CW8" s="54">
        <f t="shared" ref="CW8:CW43" si="35">(F8/1000)/(BC8/(1-Y8))</f>
        <v>0.70529156067995347</v>
      </c>
      <c r="CX8" s="54"/>
      <c r="CY8" s="54">
        <f t="shared" si="30"/>
        <v>8.0947802364352909E-7</v>
      </c>
      <c r="CZ8" s="57">
        <f t="shared" si="14"/>
        <v>0.87129179555162772</v>
      </c>
      <c r="DA8" s="57">
        <f t="shared" si="15"/>
        <v>0.87129179555162761</v>
      </c>
      <c r="DB8" s="81">
        <f t="shared" si="31"/>
        <v>0.80947802364352905</v>
      </c>
    </row>
    <row r="9" spans="1:106" x14ac:dyDescent="0.2">
      <c r="A9" s="85">
        <v>1986</v>
      </c>
      <c r="B9" s="99">
        <v>129779.73</v>
      </c>
      <c r="C9" s="99">
        <v>44262.633000000002</v>
      </c>
      <c r="D9" s="67">
        <v>0.3410596785800063</v>
      </c>
      <c r="E9" s="99">
        <v>115241.076</v>
      </c>
      <c r="F9" s="99">
        <v>44880.514000000017</v>
      </c>
      <c r="G9" s="67">
        <v>0.38944893225398231</v>
      </c>
      <c r="H9" s="99">
        <v>116659.976</v>
      </c>
      <c r="I9" s="99">
        <v>44963.068181818213</v>
      </c>
      <c r="J9" s="67">
        <v>0.38541983054940981</v>
      </c>
      <c r="K9" s="98">
        <f t="shared" si="32"/>
        <v>0</v>
      </c>
      <c r="L9" s="98">
        <f t="shared" si="33"/>
        <v>0</v>
      </c>
      <c r="M9" s="98">
        <f t="shared" si="34"/>
        <v>0</v>
      </c>
      <c r="N9" s="98"/>
      <c r="O9" s="53"/>
      <c r="P9" s="55">
        <f>WrightZucman!O30</f>
        <v>56.36</v>
      </c>
      <c r="Q9" s="76"/>
      <c r="R9" s="76"/>
      <c r="S9" s="76"/>
      <c r="T9" s="54"/>
      <c r="U9" s="72">
        <f t="shared" si="27"/>
        <v>0.35907934807425007</v>
      </c>
      <c r="V9" s="53">
        <v>24.454000000000001</v>
      </c>
      <c r="W9" s="45"/>
      <c r="X9" s="56"/>
      <c r="Y9" s="54">
        <f t="shared" si="0"/>
        <v>0.43388928317955999</v>
      </c>
      <c r="Z9" s="56"/>
      <c r="AA9" s="54">
        <f t="shared" si="1"/>
        <v>0.38677703751348841</v>
      </c>
      <c r="AB9" s="54"/>
      <c r="AD9" s="55">
        <f t="shared" si="2"/>
        <v>335.6266680584331</v>
      </c>
      <c r="AE9" s="53">
        <f t="shared" si="3"/>
        <v>6.2336909336060504</v>
      </c>
      <c r="AF9" s="53">
        <f t="shared" si="16"/>
        <v>329.39297712482704</v>
      </c>
      <c r="AG9" s="55">
        <f t="shared" si="17"/>
        <v>335.6266680584331</v>
      </c>
      <c r="AH9" s="53">
        <f t="shared" si="18"/>
        <v>268.13130906639401</v>
      </c>
      <c r="AI9" s="53">
        <f t="shared" si="4"/>
        <v>67.495358992039115</v>
      </c>
      <c r="AJ9" s="53"/>
      <c r="AK9" s="55">
        <f t="shared" si="19"/>
        <v>341.8603589920391</v>
      </c>
      <c r="AL9" s="53">
        <f t="shared" si="5"/>
        <v>274.36500000000001</v>
      </c>
      <c r="AM9" s="53">
        <f t="shared" si="20"/>
        <v>67.495358992039115</v>
      </c>
      <c r="AN9" s="55">
        <f t="shared" si="21"/>
        <v>341.8603589920391</v>
      </c>
      <c r="AO9" s="53">
        <f t="shared" si="22"/>
        <v>329.39297712482698</v>
      </c>
      <c r="AP9" s="53">
        <v>12.467381867212101</v>
      </c>
      <c r="AQ9" s="53">
        <f t="shared" si="6"/>
        <v>0</v>
      </c>
      <c r="AR9" s="56">
        <f>Data!AM9/Data!AK9</f>
        <v>0.19743546514444185</v>
      </c>
      <c r="AS9" s="56">
        <f>Data!AI9/Data!AG9</f>
        <v>0.20110249099838537</v>
      </c>
      <c r="AT9" s="56"/>
      <c r="AV9" s="53">
        <f>'[1]Assets(BoP)'!$D78</f>
        <v>324.39999999999998</v>
      </c>
      <c r="AW9" s="53">
        <v>15.5</v>
      </c>
      <c r="AX9" s="53">
        <f>'[1]Assets(BoP)'!$CI78</f>
        <v>0</v>
      </c>
      <c r="AY9" s="53">
        <f t="shared" si="7"/>
        <v>5.5640000000000001</v>
      </c>
      <c r="AZ9" s="53">
        <f t="shared" si="23"/>
        <v>314.464</v>
      </c>
      <c r="BA9" s="53">
        <v>40.098999999999997</v>
      </c>
      <c r="BB9" s="53">
        <f t="shared" si="24"/>
        <v>274.36500000000001</v>
      </c>
      <c r="BC9" s="53">
        <f t="shared" si="28"/>
        <v>35.744999999999997</v>
      </c>
      <c r="BD9" s="53">
        <v>4.3540000000000001</v>
      </c>
      <c r="BE9" s="96">
        <f t="shared" si="8"/>
        <v>0.10858126137808924</v>
      </c>
      <c r="BF9" s="53">
        <v>36.938000000000002</v>
      </c>
      <c r="BG9" s="106">
        <f t="shared" si="25"/>
        <v>63.141358992039116</v>
      </c>
      <c r="BI9" s="81">
        <f>'[1]Assets(BoP)'!$Q78</f>
        <v>9.3000000000000007</v>
      </c>
      <c r="BK9" s="78">
        <f t="shared" si="9"/>
        <v>5.5640000000000001</v>
      </c>
      <c r="BL9" s="81">
        <v>3.7360000000000002</v>
      </c>
      <c r="BM9" s="78">
        <v>0</v>
      </c>
      <c r="BP9">
        <v>1986</v>
      </c>
      <c r="BQ9" s="56">
        <f>Data!AR9*WrightZucman!B30</f>
        <v>2.9005778058835672E-2</v>
      </c>
      <c r="BR9" s="67">
        <f>$BQ9*WrightZucman!C30/WrightZucman!$B30</f>
        <v>3.026689884400244E-3</v>
      </c>
      <c r="BS9" s="73">
        <f>WrightZucman!C30*Data!AS9-BR9</f>
        <v>5.6215584418155013E-5</v>
      </c>
      <c r="BT9" s="67">
        <f>$BQ9*WrightZucman!D30/WrightZucman!$B30</f>
        <v>8.5721182258418956E-3</v>
      </c>
      <c r="BU9" s="67">
        <f>$BQ9*WrightZucman!E30/WrightZucman!$B30</f>
        <v>5.6365092870370283E-3</v>
      </c>
      <c r="BV9" s="67">
        <f>$BQ9*WrightZucman!F30/WrightZucman!$B30</f>
        <v>9.2026786184252786E-3</v>
      </c>
      <c r="BW9" s="67">
        <f>$BQ9*WrightZucman!G30/WrightZucman!$B30</f>
        <v>2.5677820431312254E-3</v>
      </c>
      <c r="BX9" s="71">
        <f t="shared" si="10"/>
        <v>0</v>
      </c>
      <c r="BY9" s="71"/>
      <c r="BZ9" s="67">
        <f>Data!AR9*WrightZucman!B30</f>
        <v>2.9005778058835672E-2</v>
      </c>
      <c r="CA9" s="67">
        <f>Data!D9*WrightZucman!B30</f>
        <v>5.0105999621051313E-2</v>
      </c>
      <c r="CB9" s="73"/>
      <c r="CC9" s="73"/>
      <c r="CD9" s="73"/>
      <c r="CE9" s="73"/>
      <c r="CF9" s="73"/>
      <c r="CG9" s="74"/>
      <c r="CH9"/>
      <c r="CI9"/>
      <c r="CJ9" s="53">
        <f t="shared" si="26"/>
        <v>88.7</v>
      </c>
      <c r="CK9" s="53">
        <v>66</v>
      </c>
      <c r="CL9" s="53">
        <v>22.7</v>
      </c>
      <c r="CM9" s="53">
        <f t="shared" si="11"/>
        <v>27.396358992039115</v>
      </c>
      <c r="CN9" s="56">
        <f t="shared" si="12"/>
        <v>0.34590922009757152</v>
      </c>
      <c r="CO9" s="56">
        <f>'[1]Assets(BoP)'!$BN78</f>
        <v>0.3517538979737021</v>
      </c>
      <c r="CQ9" s="54"/>
      <c r="CR9" s="54">
        <f t="shared" si="13"/>
        <v>0.83502037535125195</v>
      </c>
      <c r="CS9" s="54"/>
      <c r="CT9" s="54"/>
      <c r="CU9" s="54"/>
      <c r="CV9" s="54">
        <f t="shared" si="29"/>
        <v>3.4336090354994188E-7</v>
      </c>
      <c r="CW9" s="54">
        <f t="shared" si="35"/>
        <v>0.71079423560805166</v>
      </c>
      <c r="CX9" s="54"/>
      <c r="CY9" s="54">
        <f t="shared" si="30"/>
        <v>7.9631855926188817E-7</v>
      </c>
      <c r="CZ9" s="57">
        <f t="shared" si="14"/>
        <v>0.89260036368722895</v>
      </c>
      <c r="DA9" s="57">
        <f t="shared" si="15"/>
        <v>0.89260036368722906</v>
      </c>
      <c r="DB9" s="81">
        <f t="shared" si="31"/>
        <v>0.79631855926188821</v>
      </c>
    </row>
    <row r="10" spans="1:106" x14ac:dyDescent="0.2">
      <c r="A10" s="85">
        <v>1987</v>
      </c>
      <c r="B10" s="99">
        <v>146090.89099999971</v>
      </c>
      <c r="C10" s="99">
        <v>48273.071000000033</v>
      </c>
      <c r="D10" s="67">
        <v>0.33043176524948531</v>
      </c>
      <c r="E10" s="99">
        <v>134045.91099999991</v>
      </c>
      <c r="F10" s="99">
        <v>50815.00499999999</v>
      </c>
      <c r="G10" s="67">
        <v>0.37908657280862529</v>
      </c>
      <c r="H10" s="99">
        <v>138340.81399999969</v>
      </c>
      <c r="I10" s="99">
        <v>49215.38813477457</v>
      </c>
      <c r="J10" s="67">
        <v>0.35575465194801198</v>
      </c>
      <c r="K10" s="98">
        <f t="shared" si="32"/>
        <v>0</v>
      </c>
      <c r="L10" s="98">
        <f t="shared" si="33"/>
        <v>0</v>
      </c>
      <c r="M10" s="98">
        <f t="shared" si="34"/>
        <v>0</v>
      </c>
      <c r="N10" s="98"/>
      <c r="O10" s="53"/>
      <c r="P10" s="55">
        <f>WrightZucman!O31</f>
        <v>70.626000000000005</v>
      </c>
      <c r="Q10" s="76"/>
      <c r="R10" s="76"/>
      <c r="S10" s="76"/>
      <c r="T10" s="54"/>
      <c r="U10" s="72">
        <f t="shared" si="27"/>
        <v>0.36087173841679543</v>
      </c>
      <c r="V10" s="53">
        <v>27.928000000000001</v>
      </c>
      <c r="W10" s="45"/>
      <c r="X10" s="56"/>
      <c r="Y10" s="54">
        <f t="shared" si="0"/>
        <v>0.39543510888341404</v>
      </c>
      <c r="Z10" s="56"/>
      <c r="AA10" s="54">
        <f t="shared" si="1"/>
        <v>0.35572641634372926</v>
      </c>
      <c r="AB10" s="54"/>
      <c r="AD10" s="55">
        <f t="shared" si="2"/>
        <v>372.81727935026822</v>
      </c>
      <c r="AE10" s="53">
        <f t="shared" si="3"/>
        <v>12.226230369156621</v>
      </c>
      <c r="AF10" s="53">
        <f t="shared" si="16"/>
        <v>360.59104898111161</v>
      </c>
      <c r="AG10" s="55">
        <f t="shared" si="17"/>
        <v>372.81727935026822</v>
      </c>
      <c r="AH10" s="53">
        <f t="shared" si="18"/>
        <v>295.62576963084342</v>
      </c>
      <c r="AI10" s="53">
        <f t="shared" si="4"/>
        <v>77.191509719424786</v>
      </c>
      <c r="AJ10" s="53"/>
      <c r="AK10" s="55">
        <f t="shared" si="19"/>
        <v>385.04350971942483</v>
      </c>
      <c r="AL10" s="53">
        <f t="shared" si="5"/>
        <v>307.85200000000003</v>
      </c>
      <c r="AM10" s="53">
        <f t="shared" si="20"/>
        <v>77.191509719424786</v>
      </c>
      <c r="AN10" s="55">
        <f t="shared" si="21"/>
        <v>385.04350971942483</v>
      </c>
      <c r="AO10" s="53">
        <f t="shared" si="22"/>
        <v>360.59104898111161</v>
      </c>
      <c r="AP10" s="53">
        <v>24.452460738313242</v>
      </c>
      <c r="AQ10" s="53">
        <f t="shared" si="6"/>
        <v>0</v>
      </c>
      <c r="AR10" s="56">
        <f>Data!AM10/Data!AK10</f>
        <v>0.20047477173598649</v>
      </c>
      <c r="AS10" s="56">
        <f>Data!AI10/Data!AG10</f>
        <v>0.20704917393837327</v>
      </c>
      <c r="AT10" s="56"/>
      <c r="AV10" s="53">
        <f>'[1]Assets(BoP)'!$D79</f>
        <v>366</v>
      </c>
      <c r="AW10" s="53">
        <v>16.2</v>
      </c>
      <c r="AX10" s="53">
        <f>'[1]Assets(BoP)'!$CI79</f>
        <v>0</v>
      </c>
      <c r="AY10" s="53">
        <f t="shared" si="7"/>
        <v>6.6489999999999982</v>
      </c>
      <c r="AZ10" s="53">
        <f t="shared" si="23"/>
        <v>356.44900000000001</v>
      </c>
      <c r="BA10" s="53">
        <v>48.597000000000001</v>
      </c>
      <c r="BB10" s="53">
        <f t="shared" si="24"/>
        <v>307.85200000000003</v>
      </c>
      <c r="BC10" s="53">
        <f t="shared" si="28"/>
        <v>43.716999999999999</v>
      </c>
      <c r="BD10" s="53">
        <v>4.88</v>
      </c>
      <c r="BE10" s="96">
        <f t="shared" si="8"/>
        <v>0.10041772125851389</v>
      </c>
      <c r="BF10" s="53">
        <v>46.286999999999999</v>
      </c>
      <c r="BG10" s="106">
        <f t="shared" si="25"/>
        <v>72.311509719424791</v>
      </c>
      <c r="BI10" s="81">
        <f>'[1]Assets(BoP)'!$Q79</f>
        <v>10.899999999999999</v>
      </c>
      <c r="BK10" s="78">
        <f t="shared" si="9"/>
        <v>6.6489999999999982</v>
      </c>
      <c r="BL10" s="81">
        <v>4.2510000000000003</v>
      </c>
      <c r="BM10" s="78">
        <v>0</v>
      </c>
      <c r="BP10">
        <v>1987</v>
      </c>
      <c r="BQ10" s="56">
        <f>Data!AR10*WrightZucman!B31</f>
        <v>3.430092517851302E-2</v>
      </c>
      <c r="BR10" s="67">
        <f>$BQ10*WrightZucman!C31/WrightZucman!$B31</f>
        <v>5.6430188062631479E-3</v>
      </c>
      <c r="BS10" s="73">
        <f>WrightZucman!C31*Data!AS10-BR10</f>
        <v>1.8505807462329722E-4</v>
      </c>
      <c r="BT10" s="67">
        <f>$BQ10*WrightZucman!D31/WrightZucman!$B31</f>
        <v>1.0380543146128941E-2</v>
      </c>
      <c r="BU10" s="67">
        <f>$BQ10*WrightZucman!E31/WrightZucman!$B31</f>
        <v>6.0716384439622106E-3</v>
      </c>
      <c r="BV10" s="67">
        <f>$BQ10*WrightZucman!F31/WrightZucman!$B31</f>
        <v>9.49491846426068E-3</v>
      </c>
      <c r="BW10" s="67">
        <f>$BQ10*WrightZucman!G31/WrightZucman!$B31</f>
        <v>2.7108063178980413E-3</v>
      </c>
      <c r="BX10" s="71">
        <f t="shared" si="10"/>
        <v>0</v>
      </c>
      <c r="BY10" s="71"/>
      <c r="BZ10" s="67">
        <f>Data!AR10*WrightZucman!B31</f>
        <v>3.430092517851302E-2</v>
      </c>
      <c r="CA10" s="67">
        <f>Data!D10*WrightZucman!B31</f>
        <v>5.6536366936748232E-2</v>
      </c>
      <c r="CB10" s="73"/>
      <c r="CC10" s="73"/>
      <c r="CD10" s="73"/>
      <c r="CE10" s="73"/>
      <c r="CF10" s="73"/>
      <c r="CG10" s="74"/>
      <c r="CH10"/>
      <c r="CI10"/>
      <c r="CJ10" s="53">
        <f t="shared" si="26"/>
        <v>109.30000000000001</v>
      </c>
      <c r="CK10" s="53">
        <v>85.4</v>
      </c>
      <c r="CL10" s="53">
        <v>23.9</v>
      </c>
      <c r="CM10" s="53">
        <f t="shared" si="11"/>
        <v>28.594509719424799</v>
      </c>
      <c r="CN10" s="56">
        <f t="shared" si="12"/>
        <v>0.36987156271228122</v>
      </c>
      <c r="CO10" s="56">
        <f>'[1]Assets(BoP)'!$BN79</f>
        <v>0.38003278091958204</v>
      </c>
      <c r="CQ10" s="54"/>
      <c r="CR10" s="54">
        <f t="shared" si="13"/>
        <v>0.91494518317767004</v>
      </c>
      <c r="CS10" s="54"/>
      <c r="CT10" s="54"/>
      <c r="CU10" s="54"/>
      <c r="CV10" s="54">
        <f t="shared" si="29"/>
        <v>3.5954854676695787E-7</v>
      </c>
      <c r="CW10" s="54">
        <f t="shared" si="35"/>
        <v>0.70272360786224508</v>
      </c>
      <c r="CX10" s="54"/>
      <c r="CY10" s="54">
        <f t="shared" si="30"/>
        <v>7.1949430804519562E-7</v>
      </c>
      <c r="CZ10" s="57">
        <f t="shared" si="14"/>
        <v>0.97669098977514479</v>
      </c>
      <c r="DA10" s="57">
        <f t="shared" si="15"/>
        <v>0.9766909897751449</v>
      </c>
      <c r="DB10" s="81">
        <f t="shared" si="31"/>
        <v>0.71949430804519565</v>
      </c>
    </row>
    <row r="11" spans="1:106" x14ac:dyDescent="0.2">
      <c r="A11" s="85">
        <v>1988</v>
      </c>
      <c r="B11" s="99">
        <v>172288.079</v>
      </c>
      <c r="C11" s="99">
        <v>63305.275999999933</v>
      </c>
      <c r="D11" s="67">
        <v>0.36743851558063928</v>
      </c>
      <c r="E11" s="99">
        <v>167419.37500000009</v>
      </c>
      <c r="F11" s="99">
        <v>64231.957999999933</v>
      </c>
      <c r="G11" s="67">
        <v>0.3836590478252585</v>
      </c>
      <c r="H11" s="99">
        <v>167419.37500000009</v>
      </c>
      <c r="I11" s="99">
        <v>64231.957999999933</v>
      </c>
      <c r="J11" s="67">
        <v>0.3836590478252585</v>
      </c>
      <c r="K11" s="98">
        <f t="shared" si="32"/>
        <v>0</v>
      </c>
      <c r="L11" s="98">
        <f t="shared" si="33"/>
        <v>0</v>
      </c>
      <c r="M11" s="98">
        <f t="shared" si="34"/>
        <v>0</v>
      </c>
      <c r="N11" s="98"/>
      <c r="O11" s="53"/>
      <c r="P11" s="55">
        <f>WrightZucman!O32</f>
        <v>80.266999999999996</v>
      </c>
      <c r="Q11" s="76"/>
      <c r="R11" s="76"/>
      <c r="S11" s="76"/>
      <c r="T11" s="54"/>
      <c r="U11" s="72">
        <f t="shared" si="27"/>
        <v>0.36266412875934079</v>
      </c>
      <c r="V11" s="53">
        <v>30.841999999999999</v>
      </c>
      <c r="W11" s="45"/>
      <c r="X11" s="56"/>
      <c r="Y11" s="54">
        <f t="shared" si="0"/>
        <v>0.38424259035469122</v>
      </c>
      <c r="Z11" s="56"/>
      <c r="AA11" s="54">
        <f t="shared" si="1"/>
        <v>0.35897413493502162</v>
      </c>
      <c r="AB11" s="54"/>
      <c r="AD11" s="55">
        <f t="shared" si="2"/>
        <v>415.05703663879234</v>
      </c>
      <c r="AE11" s="53">
        <f t="shared" si="3"/>
        <v>23.534674823018477</v>
      </c>
      <c r="AF11" s="53">
        <f t="shared" si="16"/>
        <v>391.52236181577388</v>
      </c>
      <c r="AG11" s="55">
        <f t="shared" si="17"/>
        <v>415.05703663879234</v>
      </c>
      <c r="AH11" s="53">
        <f t="shared" si="18"/>
        <v>320.48032517698152</v>
      </c>
      <c r="AI11" s="53">
        <f t="shared" si="4"/>
        <v>94.576711461810831</v>
      </c>
      <c r="AJ11" s="53"/>
      <c r="AK11" s="55">
        <f t="shared" si="19"/>
        <v>438.5917114618108</v>
      </c>
      <c r="AL11" s="53">
        <f t="shared" si="5"/>
        <v>344.01499999999999</v>
      </c>
      <c r="AM11" s="53">
        <f t="shared" si="20"/>
        <v>94.576711461810831</v>
      </c>
      <c r="AN11" s="55">
        <f t="shared" si="21"/>
        <v>438.5917114618108</v>
      </c>
      <c r="AO11" s="53">
        <f t="shared" si="22"/>
        <v>391.52236181577382</v>
      </c>
      <c r="AP11" s="53">
        <v>47.069349646036954</v>
      </c>
      <c r="AQ11" s="53">
        <f t="shared" si="6"/>
        <v>0</v>
      </c>
      <c r="AR11" s="56">
        <f>Data!AM11/Data!AK11</f>
        <v>0.21563725211903792</v>
      </c>
      <c r="AS11" s="56">
        <f>Data!AI11/Data!AG11</f>
        <v>0.22786437311775343</v>
      </c>
      <c r="AT11" s="56"/>
      <c r="AV11" s="53">
        <f>'[1]Assets(BoP)'!$D80</f>
        <v>414.5</v>
      </c>
      <c r="AW11" s="53">
        <v>18.100000000000001</v>
      </c>
      <c r="AX11" s="53">
        <f>'[1]Assets(BoP)'!$CI80</f>
        <v>0</v>
      </c>
      <c r="AY11" s="53">
        <f t="shared" si="7"/>
        <v>7.3609999999999998</v>
      </c>
      <c r="AZ11" s="53">
        <f t="shared" si="23"/>
        <v>403.76099999999997</v>
      </c>
      <c r="BA11" s="53">
        <v>59.746000000000002</v>
      </c>
      <c r="BB11" s="53">
        <f t="shared" si="24"/>
        <v>344.01499999999999</v>
      </c>
      <c r="BC11" s="53">
        <f t="shared" si="28"/>
        <v>55.817</v>
      </c>
      <c r="BD11" s="53">
        <v>3.9289999999999998</v>
      </c>
      <c r="BE11" s="96">
        <f t="shared" si="8"/>
        <v>6.5761724634285132E-2</v>
      </c>
      <c r="BF11" s="53">
        <v>58.445</v>
      </c>
      <c r="BG11" s="106">
        <f t="shared" si="25"/>
        <v>90.647711461810829</v>
      </c>
      <c r="BI11" s="81">
        <f>'[1]Assets(BoP)'!$Q80</f>
        <v>14.6</v>
      </c>
      <c r="BK11" s="78">
        <f t="shared" si="9"/>
        <v>7.3609999999999998</v>
      </c>
      <c r="BL11" s="81">
        <v>7.2389999999999999</v>
      </c>
      <c r="BM11" s="78">
        <v>0</v>
      </c>
      <c r="BP11">
        <v>1988</v>
      </c>
      <c r="BQ11" s="56">
        <f>Data!AR11*WrightZucman!B32</f>
        <v>3.0150583434437096E-2</v>
      </c>
      <c r="BR11" s="67">
        <f>$BQ11*WrightZucman!C32/WrightZucman!$B32</f>
        <v>4.9404725060972843E-3</v>
      </c>
      <c r="BS11" s="73">
        <f>WrightZucman!C32*Data!AS11-BR11</f>
        <v>2.8013599009104381E-4</v>
      </c>
      <c r="BT11" s="67">
        <f>$BQ11*WrightZucman!D32/WrightZucman!$B32</f>
        <v>1.1801792125766921E-2</v>
      </c>
      <c r="BU11" s="67">
        <f>$BQ11*WrightZucman!E32/WrightZucman!$B32</f>
        <v>5.5153833904392196E-3</v>
      </c>
      <c r="BV11" s="67">
        <f>$BQ11*WrightZucman!F32/WrightZucman!$B32</f>
        <v>4.8142070314988218E-3</v>
      </c>
      <c r="BW11" s="67">
        <f>$BQ11*WrightZucman!G32/WrightZucman!$B32</f>
        <v>3.0787283806348494E-3</v>
      </c>
      <c r="BX11" s="71">
        <f t="shared" si="10"/>
        <v>0</v>
      </c>
      <c r="BY11" s="71"/>
      <c r="BZ11" s="67">
        <f>Data!AR11*WrightZucman!B32</f>
        <v>3.0150583434437096E-2</v>
      </c>
      <c r="CA11" s="67">
        <f>Data!D11*WrightZucman!B32</f>
        <v>5.1375564806975652E-2</v>
      </c>
      <c r="CB11" s="73"/>
      <c r="CC11" s="73"/>
      <c r="CD11" s="73"/>
      <c r="CE11" s="73"/>
      <c r="CF11" s="73"/>
      <c r="CG11" s="74"/>
      <c r="CH11"/>
      <c r="CI11"/>
      <c r="CJ11" s="53">
        <f t="shared" si="26"/>
        <v>119.8</v>
      </c>
      <c r="CK11" s="53">
        <v>93.8</v>
      </c>
      <c r="CL11" s="53">
        <v>26</v>
      </c>
      <c r="CM11" s="53">
        <f t="shared" si="11"/>
        <v>34.830711461810822</v>
      </c>
      <c r="CN11" s="56">
        <f t="shared" si="12"/>
        <v>0.37255292119376787</v>
      </c>
      <c r="CO11" s="56">
        <f>'[1]Assets(BoP)'!$BN80</f>
        <v>0.39111072394820839</v>
      </c>
      <c r="CQ11" s="54"/>
      <c r="CR11" s="54">
        <f t="shared" si="13"/>
        <v>0.84869730358948925</v>
      </c>
      <c r="CS11" s="54"/>
      <c r="CT11" s="54"/>
      <c r="CU11" s="54"/>
      <c r="CV11" s="54">
        <f t="shared" si="29"/>
        <v>4.0336474320684389E-7</v>
      </c>
      <c r="CW11" s="54">
        <f t="shared" si="35"/>
        <v>0.70858885419363682</v>
      </c>
      <c r="CX11" s="54"/>
      <c r="CY11" s="54">
        <f t="shared" si="30"/>
        <v>8.0022871167478451E-7</v>
      </c>
      <c r="CZ11" s="57">
        <f t="shared" si="14"/>
        <v>0.88548291739075902</v>
      </c>
      <c r="DA11" s="57">
        <f t="shared" si="15"/>
        <v>0.88548291739075902</v>
      </c>
      <c r="DB11" s="81">
        <f t="shared" si="31"/>
        <v>0.8002287116747846</v>
      </c>
    </row>
    <row r="12" spans="1:106" x14ac:dyDescent="0.2">
      <c r="A12" s="85">
        <v>1989</v>
      </c>
      <c r="B12" s="99">
        <v>166283.96300000011</v>
      </c>
      <c r="C12" s="99">
        <v>65590.438000000024</v>
      </c>
      <c r="D12" s="67">
        <v>0.3944483690228141</v>
      </c>
      <c r="E12" s="99">
        <v>159689.30500000031</v>
      </c>
      <c r="F12" s="99">
        <v>66124.966000000015</v>
      </c>
      <c r="G12" s="67">
        <v>0.41408512611411208</v>
      </c>
      <c r="H12" s="99">
        <v>159689.30500000031</v>
      </c>
      <c r="I12" s="99">
        <v>66087.898000000016</v>
      </c>
      <c r="J12" s="67">
        <v>0.41385300036217149</v>
      </c>
      <c r="K12" s="98">
        <f t="shared" si="32"/>
        <v>0</v>
      </c>
      <c r="L12" s="98">
        <f t="shared" si="33"/>
        <v>0</v>
      </c>
      <c r="M12" s="98">
        <f t="shared" si="34"/>
        <v>0</v>
      </c>
      <c r="N12" s="98"/>
      <c r="O12" s="53">
        <f>170.663+60.446-49.377-22.056</f>
        <v>159.67599999999999</v>
      </c>
      <c r="P12" s="55">
        <f>WrightZucman!O33</f>
        <v>85.593999999999994</v>
      </c>
      <c r="Q12" s="54">
        <f>P12/(P12+O12)</f>
        <v>0.34897867656052511</v>
      </c>
      <c r="R12" s="53">
        <f>BC12/(1-Y12)</f>
        <v>91.567234804886908</v>
      </c>
      <c r="S12" s="53"/>
      <c r="T12" s="54">
        <f>R12/(R12+O12)</f>
        <v>0.36445651910188609</v>
      </c>
      <c r="U12" s="56">
        <f>T12</f>
        <v>0.36445651910188609</v>
      </c>
      <c r="V12" s="53">
        <v>33.290999999999997</v>
      </c>
      <c r="W12" s="66">
        <f>60.446</f>
        <v>60.445999999999998</v>
      </c>
      <c r="X12" s="56">
        <f>W12/O12</f>
        <v>0.3785540719957915</v>
      </c>
      <c r="Y12" s="54">
        <f t="shared" si="0"/>
        <v>0.38894081360843047</v>
      </c>
      <c r="Z12" s="56">
        <f>(V12+W12)/(O12+P12)</f>
        <v>0.38217882333754638</v>
      </c>
      <c r="AA12" s="54">
        <f t="shared" si="1"/>
        <v>0.35216527516073065</v>
      </c>
      <c r="AB12" s="54">
        <f>(V12+W12)/(P12/(1-BE12)+O12)</f>
        <v>0.36874088348949791</v>
      </c>
      <c r="AD12" s="55">
        <f t="shared" si="2"/>
        <v>413.26942701220412</v>
      </c>
      <c r="AE12" s="53">
        <f t="shared" si="3"/>
        <v>24.513807792682822</v>
      </c>
      <c r="AF12" s="53">
        <f t="shared" si="16"/>
        <v>388.75561921952129</v>
      </c>
      <c r="AG12" s="55">
        <f t="shared" si="17"/>
        <v>413.26942701220412</v>
      </c>
      <c r="AH12" s="53">
        <f t="shared" si="18"/>
        <v>315.85919220731722</v>
      </c>
      <c r="AI12" s="53">
        <f t="shared" si="4"/>
        <v>97.410234804886912</v>
      </c>
      <c r="AJ12" s="53"/>
      <c r="AK12" s="55">
        <f t="shared" si="19"/>
        <v>437.78323480488694</v>
      </c>
      <c r="AL12" s="53">
        <f t="shared" si="5"/>
        <v>340.37300000000005</v>
      </c>
      <c r="AM12" s="53">
        <f t="shared" si="20"/>
        <v>97.410234804886912</v>
      </c>
      <c r="AN12" s="55">
        <f t="shared" si="21"/>
        <v>437.78323480488694</v>
      </c>
      <c r="AO12" s="53">
        <f t="shared" si="22"/>
        <v>388.75561921952129</v>
      </c>
      <c r="AP12" s="53">
        <v>49.027615585365645</v>
      </c>
      <c r="AQ12" s="53">
        <f t="shared" si="6"/>
        <v>0</v>
      </c>
      <c r="AR12" s="56">
        <f>Data!AM12/Data!AK12</f>
        <v>0.2225079150148386</v>
      </c>
      <c r="AS12" s="56">
        <f>Data!AI12/Data!AG12</f>
        <v>0.23570636596355415</v>
      </c>
      <c r="AT12" s="56"/>
      <c r="AV12" s="53">
        <f>'[1]Assets(BoP)'!$D81</f>
        <v>414.3</v>
      </c>
      <c r="AW12" s="53">
        <v>20.7</v>
      </c>
      <c r="AX12" s="53">
        <f>'[1]Assets(BoP)'!$CI81</f>
        <v>0</v>
      </c>
      <c r="AY12" s="53">
        <f t="shared" si="7"/>
        <v>8.5690000000000008</v>
      </c>
      <c r="AZ12" s="53">
        <f t="shared" si="23"/>
        <v>402.16900000000004</v>
      </c>
      <c r="BA12" s="53">
        <v>61.795999999999999</v>
      </c>
      <c r="BB12" s="53">
        <f t="shared" si="24"/>
        <v>340.37300000000005</v>
      </c>
      <c r="BC12" s="53">
        <f t="shared" si="28"/>
        <v>55.953000000000003</v>
      </c>
      <c r="BD12" s="53">
        <v>5.843</v>
      </c>
      <c r="BE12" s="96">
        <f t="shared" si="8"/>
        <v>9.4553045504563407E-2</v>
      </c>
      <c r="BF12" s="53">
        <v>61.981000000000002</v>
      </c>
      <c r="BG12" s="106">
        <f t="shared" si="25"/>
        <v>91.567234804886908</v>
      </c>
      <c r="BI12" s="81">
        <f>'[1]Assets(BoP)'!$Q81</f>
        <v>8.4</v>
      </c>
      <c r="BK12" s="78">
        <f t="shared" si="9"/>
        <v>8.5690000000000008</v>
      </c>
      <c r="BL12" s="81">
        <v>-0.16900000000000001</v>
      </c>
      <c r="BM12" s="78">
        <v>0</v>
      </c>
      <c r="BP12">
        <v>1989</v>
      </c>
      <c r="BQ12" s="56">
        <f>Data!AR12*WrightZucman!B33</f>
        <v>3.7366272991369603E-2</v>
      </c>
      <c r="BR12" s="67">
        <f>$BQ12*WrightZucman!C33/WrightZucman!$B33</f>
        <v>6.9642580592652829E-3</v>
      </c>
      <c r="BS12" s="73">
        <f>WrightZucman!C33*Data!AS12-BR12</f>
        <v>4.130972976097505E-4</v>
      </c>
      <c r="BT12" s="67">
        <f>$BQ12*WrightZucman!D33/WrightZucman!$B33</f>
        <v>1.0915610149628564E-2</v>
      </c>
      <c r="BU12" s="67">
        <f>$BQ12*WrightZucman!E33/WrightZucman!$B33</f>
        <v>5.5552890902015326E-3</v>
      </c>
      <c r="BV12" s="67">
        <f>$BQ12*WrightZucman!F33/WrightZucman!$B33</f>
        <v>1.0731040413828699E-2</v>
      </c>
      <c r="BW12" s="67">
        <f>$BQ12*WrightZucman!G33/WrightZucman!$B33</f>
        <v>3.2000752784455255E-3</v>
      </c>
      <c r="BX12" s="71">
        <f t="shared" si="10"/>
        <v>0</v>
      </c>
      <c r="BY12" s="71"/>
      <c r="BZ12" s="67">
        <f>Data!AR12*WrightZucman!B33</f>
        <v>3.7366272991369603E-2</v>
      </c>
      <c r="CA12" s="67">
        <f>Data!D12*WrightZucman!B33</f>
        <v>6.6240634347430077E-2</v>
      </c>
      <c r="CB12" s="73">
        <f>Data!Q12*WrightZucman!B33</f>
        <v>5.8604802870306193E-2</v>
      </c>
      <c r="CC12" s="73">
        <f>WrightZucman!C33*Data!$Q12</f>
        <v>1.0922656664084478E-2</v>
      </c>
      <c r="CD12" s="73">
        <f>WrightZucman!D33*Data!$Q12</f>
        <v>1.7119908672075669E-2</v>
      </c>
      <c r="CE12" s="73">
        <f>WrightZucman!E33*Data!$Q12</f>
        <v>8.7128470664981448E-3</v>
      </c>
      <c r="CF12" s="73">
        <f>WrightZucman!F33*Data!$Q12</f>
        <v>1.6830431769070817E-2</v>
      </c>
      <c r="CG12" s="73">
        <f>WrightZucman!G33*Data!$Q12</f>
        <v>5.0189586985770777E-3</v>
      </c>
      <c r="CH12" s="71">
        <f>CB12-CC12-CD12-CE12-CF12-CG12</f>
        <v>7.8062556418956319E-18</v>
      </c>
      <c r="CI12" s="71"/>
      <c r="CJ12" s="53">
        <f t="shared" si="26"/>
        <v>119.8</v>
      </c>
      <c r="CK12" s="53">
        <v>95.6</v>
      </c>
      <c r="CL12" s="53">
        <v>24.2</v>
      </c>
      <c r="CM12" s="53">
        <f t="shared" si="11"/>
        <v>35.614234804886905</v>
      </c>
      <c r="CN12" s="56">
        <f t="shared" si="12"/>
        <v>0.37606032444373738</v>
      </c>
      <c r="CO12" s="56">
        <f>'[1]Assets(BoP)'!$BN81</f>
        <v>0.40047162290297844</v>
      </c>
      <c r="CQ12" s="54">
        <f>(O12+P12)/AD12</f>
        <v>0.59348692153014504</v>
      </c>
      <c r="CR12" s="54">
        <f t="shared" si="13"/>
        <v>0.87869616751715174</v>
      </c>
      <c r="CS12" s="54">
        <f>O12/AL12</f>
        <v>0.46912064117894181</v>
      </c>
      <c r="CT12" s="54">
        <f>O12/(AL12-0.5*AP12)</f>
        <v>0.50552905832544237</v>
      </c>
      <c r="CU12" s="54">
        <f>(O12+P12)/AD12</f>
        <v>0.59348692153014504</v>
      </c>
      <c r="CV12" s="54">
        <f t="shared" si="29"/>
        <v>3.8640483559236183E-7</v>
      </c>
      <c r="CW12" s="54">
        <f t="shared" si="35"/>
        <v>0.72214658595839731</v>
      </c>
      <c r="CX12" s="54">
        <f>((E12-F12)/1000000000)/O12</f>
        <v>5.859636952328484E-7</v>
      </c>
      <c r="CY12" s="54">
        <f t="shared" si="30"/>
        <v>7.7254207070589073E-7</v>
      </c>
      <c r="CZ12" s="57">
        <f t="shared" si="14"/>
        <v>0.93476667917716649</v>
      </c>
      <c r="DA12" s="57">
        <f t="shared" si="15"/>
        <v>0.93476667917716649</v>
      </c>
      <c r="DB12" s="81">
        <f t="shared" si="31"/>
        <v>0.77254207070589087</v>
      </c>
    </row>
    <row r="13" spans="1:106" x14ac:dyDescent="0.2">
      <c r="A13" s="85">
        <v>1990</v>
      </c>
      <c r="B13" s="99">
        <v>167372.78599999991</v>
      </c>
      <c r="C13" s="99">
        <v>64101.504999999946</v>
      </c>
      <c r="D13" s="67">
        <v>0.3829864252842155</v>
      </c>
      <c r="E13" s="99">
        <v>156190.2429999997</v>
      </c>
      <c r="F13" s="99">
        <v>68765.055999999953</v>
      </c>
      <c r="G13" s="67">
        <v>0.44026473535866179</v>
      </c>
      <c r="H13" s="99">
        <v>158439.14299999969</v>
      </c>
      <c r="I13" s="99">
        <v>66020.979536196552</v>
      </c>
      <c r="J13" s="67">
        <v>0.41669614140867112</v>
      </c>
      <c r="K13" s="98">
        <f t="shared" si="32"/>
        <v>0</v>
      </c>
      <c r="L13" s="98">
        <f t="shared" si="33"/>
        <v>0</v>
      </c>
      <c r="M13" s="98">
        <f t="shared" si="34"/>
        <v>0</v>
      </c>
      <c r="N13" s="98"/>
      <c r="O13" s="53"/>
      <c r="P13" s="55">
        <f>WrightZucman!O34</f>
        <v>84.574999999999989</v>
      </c>
      <c r="Q13" s="76"/>
      <c r="R13" s="76"/>
      <c r="S13" s="76"/>
      <c r="T13" s="54"/>
      <c r="U13" s="72">
        <f>U12+(U$17-U$12)/5</f>
        <v>0.35222297676361114</v>
      </c>
      <c r="V13" s="53">
        <v>31.693000000000001</v>
      </c>
      <c r="W13" s="45"/>
      <c r="X13" s="56"/>
      <c r="Y13" s="54">
        <f t="shared" si="0"/>
        <v>0.37473248595920788</v>
      </c>
      <c r="Z13" s="56"/>
      <c r="AA13" s="54">
        <f t="shared" si="1"/>
        <v>0.33853189170102049</v>
      </c>
      <c r="AB13" s="54"/>
      <c r="AD13" s="55">
        <f t="shared" si="2"/>
        <v>415.42516186979549</v>
      </c>
      <c r="AE13" s="53">
        <f t="shared" si="3"/>
        <v>24.645542169386065</v>
      </c>
      <c r="AF13" s="53">
        <f t="shared" si="16"/>
        <v>390.7796197004094</v>
      </c>
      <c r="AG13" s="55">
        <f t="shared" si="17"/>
        <v>415.42516186979549</v>
      </c>
      <c r="AH13" s="53">
        <f t="shared" si="18"/>
        <v>316.48145783061392</v>
      </c>
      <c r="AI13" s="53">
        <f t="shared" si="4"/>
        <v>98.943704039181569</v>
      </c>
      <c r="AJ13" s="53"/>
      <c r="AK13" s="55">
        <f t="shared" si="19"/>
        <v>440.07070403918158</v>
      </c>
      <c r="AL13" s="53">
        <f t="shared" si="5"/>
        <v>341.12700000000001</v>
      </c>
      <c r="AM13" s="53">
        <f t="shared" si="20"/>
        <v>98.943704039181569</v>
      </c>
      <c r="AN13" s="55">
        <f t="shared" si="21"/>
        <v>440.07070403918158</v>
      </c>
      <c r="AO13" s="53">
        <f t="shared" si="22"/>
        <v>390.77961970040946</v>
      </c>
      <c r="AP13" s="53">
        <v>49.29108433877213</v>
      </c>
      <c r="AQ13" s="53">
        <f t="shared" si="6"/>
        <v>0</v>
      </c>
      <c r="AR13" s="56">
        <f>Data!AM13/Data!AK13</f>
        <v>0.2248359255252132</v>
      </c>
      <c r="AS13" s="56">
        <f>Data!AI13/Data!AG13</f>
        <v>0.23817455734708956</v>
      </c>
      <c r="AT13" s="56"/>
      <c r="AV13" s="53">
        <f>'[1]Assets(BoP)'!$D82</f>
        <v>417.7</v>
      </c>
      <c r="AW13" s="53">
        <v>21.9</v>
      </c>
      <c r="AX13" s="53">
        <f>'[1]Assets(BoP)'!$CI82</f>
        <v>0</v>
      </c>
      <c r="AY13" s="53">
        <f t="shared" si="7"/>
        <v>9.5169999999999995</v>
      </c>
      <c r="AZ13" s="53">
        <f t="shared" si="23"/>
        <v>405.31700000000001</v>
      </c>
      <c r="BA13" s="53">
        <v>64.19</v>
      </c>
      <c r="BB13" s="53">
        <f t="shared" si="24"/>
        <v>341.12700000000001</v>
      </c>
      <c r="BC13" s="53">
        <f t="shared" si="28"/>
        <v>57.988999999999997</v>
      </c>
      <c r="BD13" s="53">
        <v>6.2009999999999996</v>
      </c>
      <c r="BE13" s="96">
        <f t="shared" si="8"/>
        <v>9.6603832372643708E-2</v>
      </c>
      <c r="BF13" s="53">
        <v>65.972999999999999</v>
      </c>
      <c r="BG13" s="106">
        <f t="shared" si="25"/>
        <v>92.742704039181575</v>
      </c>
      <c r="BI13" s="84">
        <f>'[1]Assets(BoP)'!$Q82</f>
        <v>4.7999999999999989</v>
      </c>
      <c r="BK13" s="78">
        <f t="shared" si="9"/>
        <v>9.5169999999999995</v>
      </c>
      <c r="BL13" s="81">
        <v>-4.7169999999999996</v>
      </c>
      <c r="BM13" s="78">
        <v>0</v>
      </c>
      <c r="BP13">
        <v>1990</v>
      </c>
      <c r="BQ13" s="56">
        <f>Data!AR13*WrightZucman!B34</f>
        <v>4.3972935786137174E-2</v>
      </c>
      <c r="BR13" s="67">
        <f>$BQ13*WrightZucman!C34/WrightZucman!$B34</f>
        <v>8.3793418534492698E-3</v>
      </c>
      <c r="BS13" s="73">
        <f>WrightZucman!C34*Data!AS13-BR13</f>
        <v>4.9711342007158384E-4</v>
      </c>
      <c r="BT13" s="67">
        <f>$BQ13*WrightZucman!D34/WrightZucman!$B34</f>
        <v>1.2563695938896337E-2</v>
      </c>
      <c r="BU13" s="67">
        <f>$BQ13*WrightZucman!E34/WrightZucman!$B34</f>
        <v>6.8560668274256558E-3</v>
      </c>
      <c r="BV13" s="67">
        <f>$BQ13*WrightZucman!F34/WrightZucman!$B34</f>
        <v>1.0482152578727942E-2</v>
      </c>
      <c r="BW13" s="67">
        <f>$BQ13*WrightZucman!G34/WrightZucman!$B34</f>
        <v>5.6916785876379725E-3</v>
      </c>
      <c r="BX13" s="71">
        <f t="shared" si="10"/>
        <v>0</v>
      </c>
      <c r="BY13" s="71"/>
      <c r="BZ13" s="67">
        <f>Data!AR13*WrightZucman!B34</f>
        <v>4.3972935786137174E-2</v>
      </c>
      <c r="CA13" s="67">
        <f>Data!D13*WrightZucman!B34</f>
        <v>7.490367674402848E-2</v>
      </c>
      <c r="CB13" s="73"/>
      <c r="CC13" s="73"/>
      <c r="CD13" s="73"/>
      <c r="CE13" s="73"/>
      <c r="CF13" s="73"/>
      <c r="CG13" s="74"/>
      <c r="CH13"/>
      <c r="CI13"/>
      <c r="CJ13" s="53">
        <f t="shared" si="26"/>
        <v>117</v>
      </c>
      <c r="CK13" s="53">
        <v>94.5</v>
      </c>
      <c r="CL13" s="53">
        <v>22.5</v>
      </c>
      <c r="CM13" s="53">
        <f t="shared" si="11"/>
        <v>34.753704039181578</v>
      </c>
      <c r="CN13" s="56">
        <f t="shared" si="12"/>
        <v>0.36529733383541396</v>
      </c>
      <c r="CO13" s="56">
        <f>'[1]Assets(BoP)'!$BN82</f>
        <v>0.40033204878842626</v>
      </c>
      <c r="CQ13" s="54"/>
      <c r="CR13" s="54">
        <f t="shared" si="13"/>
        <v>0.85477899600876484</v>
      </c>
      <c r="CS13" s="54"/>
      <c r="CT13" s="54"/>
      <c r="CU13" s="54"/>
      <c r="CV13" s="54">
        <f t="shared" si="29"/>
        <v>3.7597684814516261E-7</v>
      </c>
      <c r="CW13" s="54">
        <f t="shared" si="35"/>
        <v>0.74146054627594604</v>
      </c>
      <c r="CX13" s="54"/>
      <c r="CY13" s="54">
        <f t="shared" si="30"/>
        <v>8.1306598876736576E-7</v>
      </c>
      <c r="CZ13" s="57">
        <f t="shared" si="14"/>
        <v>0.91193157322940543</v>
      </c>
      <c r="DA13" s="57">
        <f t="shared" si="15"/>
        <v>0.91193157322940543</v>
      </c>
      <c r="DB13" s="81">
        <f t="shared" si="31"/>
        <v>0.81306598876736591</v>
      </c>
    </row>
    <row r="14" spans="1:106" x14ac:dyDescent="0.2">
      <c r="A14" s="85">
        <v>1991</v>
      </c>
      <c r="B14" s="99">
        <v>135501.24600000001</v>
      </c>
      <c r="C14" s="99">
        <v>49338.891999999971</v>
      </c>
      <c r="D14" s="67">
        <v>0.36412131590288099</v>
      </c>
      <c r="E14" s="99">
        <v>108264.38</v>
      </c>
      <c r="F14" s="99">
        <v>52632.040999999917</v>
      </c>
      <c r="G14" s="67">
        <v>0.48614365130987602</v>
      </c>
      <c r="H14" s="99">
        <v>116142.38</v>
      </c>
      <c r="I14" s="99">
        <v>49483.29179265134</v>
      </c>
      <c r="J14" s="67">
        <v>0.42605715323425719</v>
      </c>
      <c r="K14" s="98">
        <f t="shared" si="32"/>
        <v>0</v>
      </c>
      <c r="L14" s="98">
        <f t="shared" si="33"/>
        <v>0</v>
      </c>
      <c r="M14" s="98">
        <f t="shared" si="34"/>
        <v>0</v>
      </c>
      <c r="N14" s="98"/>
      <c r="O14" s="53"/>
      <c r="P14" s="55">
        <f>WrightZucman!O35</f>
        <v>73.301000000000002</v>
      </c>
      <c r="Q14" s="76"/>
      <c r="R14" s="76"/>
      <c r="S14" s="76"/>
      <c r="T14" s="54"/>
      <c r="U14" s="72">
        <f t="shared" ref="U14:U16" si="36">U13+(U$17-U$12)/5</f>
        <v>0.33998943442533619</v>
      </c>
      <c r="V14" s="53">
        <v>26.876999999999999</v>
      </c>
      <c r="W14" s="45"/>
      <c r="X14" s="56"/>
      <c r="Y14" s="54">
        <f t="shared" si="0"/>
        <v>0.36666621192071047</v>
      </c>
      <c r="Z14" s="56"/>
      <c r="AA14" s="54">
        <f t="shared" si="1"/>
        <v>0.33353072468514994</v>
      </c>
      <c r="AB14" s="54"/>
      <c r="AD14" s="55">
        <f t="shared" si="2"/>
        <v>450.29241096260739</v>
      </c>
      <c r="AE14" s="53">
        <f t="shared" si="3"/>
        <v>21.480687671719711</v>
      </c>
      <c r="AF14" s="53">
        <f t="shared" si="16"/>
        <v>428.8117232908877</v>
      </c>
      <c r="AG14" s="55">
        <f t="shared" si="17"/>
        <v>450.29241096260739</v>
      </c>
      <c r="AH14" s="53">
        <f t="shared" si="18"/>
        <v>362.56631232828033</v>
      </c>
      <c r="AI14" s="53">
        <f t="shared" si="4"/>
        <v>87.726098634327073</v>
      </c>
      <c r="AJ14" s="53"/>
      <c r="AK14" s="55">
        <f t="shared" si="19"/>
        <v>471.77309863432708</v>
      </c>
      <c r="AL14" s="53">
        <f t="shared" si="5"/>
        <v>384.04700000000003</v>
      </c>
      <c r="AM14" s="53">
        <f t="shared" si="20"/>
        <v>87.726098634327073</v>
      </c>
      <c r="AN14" s="55">
        <f t="shared" si="21"/>
        <v>471.77309863432708</v>
      </c>
      <c r="AO14" s="53">
        <f t="shared" si="22"/>
        <v>428.81172329088764</v>
      </c>
      <c r="AP14" s="53">
        <v>42.961375343439421</v>
      </c>
      <c r="AQ14" s="53">
        <f t="shared" si="6"/>
        <v>0</v>
      </c>
      <c r="AR14" s="56">
        <f>Data!AM14/Data!AK14</f>
        <v>0.18594976883648864</v>
      </c>
      <c r="AS14" s="56">
        <f>Data!AI14/Data!AG14</f>
        <v>0.19482029121208511</v>
      </c>
      <c r="AT14" s="56"/>
      <c r="AV14" s="53">
        <f>'[1]Assets(BoP)'!$D83</f>
        <v>452.6</v>
      </c>
      <c r="AW14" s="53">
        <v>20.8</v>
      </c>
      <c r="AX14" s="53">
        <f>'[1]Assets(BoP)'!$CI83</f>
        <v>0</v>
      </c>
      <c r="AY14" s="53">
        <f t="shared" si="7"/>
        <v>9.7110000000000003</v>
      </c>
      <c r="AZ14" s="53">
        <f t="shared" si="23"/>
        <v>441.51100000000002</v>
      </c>
      <c r="BA14" s="53">
        <v>57.463999999999999</v>
      </c>
      <c r="BB14" s="53">
        <f t="shared" si="24"/>
        <v>384.04700000000003</v>
      </c>
      <c r="BC14" s="53">
        <f t="shared" si="28"/>
        <v>52.271000000000001</v>
      </c>
      <c r="BD14" s="53">
        <v>5.1929999999999996</v>
      </c>
      <c r="BE14" s="96">
        <f t="shared" si="8"/>
        <v>9.0369622720311849E-2</v>
      </c>
      <c r="BF14" s="53">
        <v>58.716999999999999</v>
      </c>
      <c r="BG14" s="106">
        <f t="shared" si="25"/>
        <v>82.533098634327075</v>
      </c>
      <c r="BI14" s="84">
        <f>'[1]Assets(BoP)'!$Q83</f>
        <v>-1</v>
      </c>
      <c r="BK14" s="78">
        <f t="shared" si="9"/>
        <v>9.7110000000000003</v>
      </c>
      <c r="BL14" s="81">
        <v>-10.711</v>
      </c>
      <c r="BM14" s="78">
        <v>0</v>
      </c>
      <c r="BP14">
        <v>1991</v>
      </c>
      <c r="BQ14" s="56">
        <f>Data!AR14*WrightZucman!B35</f>
        <v>3.8729282285735148E-2</v>
      </c>
      <c r="BR14" s="67">
        <f>$BQ14*WrightZucman!C35/WrightZucman!$B35</f>
        <v>7.645906648929438E-3</v>
      </c>
      <c r="BS14" s="73">
        <f>WrightZucman!C35*Data!AS14-BR14</f>
        <v>3.6473928650424588E-4</v>
      </c>
      <c r="BT14" s="67">
        <f>$BQ14*WrightZucman!D35/WrightZucman!$B35</f>
        <v>1.0898080611745478E-2</v>
      </c>
      <c r="BU14" s="67">
        <f>$BQ14*WrightZucman!E35/WrightZucman!$B35</f>
        <v>7.0878112730951735E-3</v>
      </c>
      <c r="BV14" s="67">
        <f>$BQ14*WrightZucman!F35/WrightZucman!$B35</f>
        <v>8.716435051666074E-3</v>
      </c>
      <c r="BW14" s="67">
        <f>$BQ14*WrightZucman!G35/WrightZucman!$B35</f>
        <v>4.3810487002989848E-3</v>
      </c>
      <c r="BX14" s="71">
        <f t="shared" si="10"/>
        <v>0</v>
      </c>
      <c r="BY14" s="71"/>
      <c r="BZ14" s="67">
        <f>Data!AR14*WrightZucman!B35</f>
        <v>3.8729282285735148E-2</v>
      </c>
      <c r="CA14" s="67">
        <f>Data!D14*WrightZucman!B35</f>
        <v>7.5838530577881397E-2</v>
      </c>
      <c r="CB14" s="73"/>
      <c r="CC14" s="73"/>
      <c r="CD14" s="73"/>
      <c r="CE14" s="73"/>
      <c r="CF14" s="73"/>
      <c r="CG14" s="74"/>
      <c r="CH14"/>
      <c r="CI14"/>
      <c r="CJ14" s="53">
        <f t="shared" si="26"/>
        <v>112.80000000000001</v>
      </c>
      <c r="CK14" s="53">
        <v>89.2</v>
      </c>
      <c r="CL14" s="53">
        <v>23.6</v>
      </c>
      <c r="CM14" s="53">
        <f t="shared" si="11"/>
        <v>30.262098634327071</v>
      </c>
      <c r="CN14" s="56">
        <f t="shared" si="12"/>
        <v>0.31770932654294065</v>
      </c>
      <c r="CO14" s="56">
        <f>'[1]Assets(BoP)'!$BN83</f>
        <v>0.34828753904274956</v>
      </c>
      <c r="CQ14" s="54"/>
      <c r="CR14" s="54">
        <f t="shared" si="13"/>
        <v>0.83556662317270136</v>
      </c>
      <c r="CS14" s="54"/>
      <c r="CT14" s="54"/>
      <c r="CU14" s="54"/>
      <c r="CV14" s="54">
        <f t="shared" si="29"/>
        <v>2.4043127835212475E-7</v>
      </c>
      <c r="CW14" s="54">
        <f t="shared" si="35"/>
        <v>0.63770828759492681</v>
      </c>
      <c r="CX14" s="54"/>
      <c r="CY14" s="54">
        <f t="shared" si="30"/>
        <v>7.1802623429421036E-7</v>
      </c>
      <c r="CZ14" s="57">
        <f t="shared" si="14"/>
        <v>0.88814065160413991</v>
      </c>
      <c r="DA14" s="57">
        <f t="shared" si="15"/>
        <v>0.88814065160414013</v>
      </c>
      <c r="DB14" s="81">
        <f t="shared" si="31"/>
        <v>0.71802623429421042</v>
      </c>
    </row>
    <row r="15" spans="1:106" x14ac:dyDescent="0.2">
      <c r="A15" s="85">
        <v>1992</v>
      </c>
      <c r="B15" s="99">
        <v>157749.97300000009</v>
      </c>
      <c r="C15" s="99">
        <v>48112.432000000023</v>
      </c>
      <c r="D15" s="67">
        <v>0.30499169720935532</v>
      </c>
      <c r="E15" s="99">
        <v>125440.121</v>
      </c>
      <c r="F15" s="99">
        <v>47824.37000000001</v>
      </c>
      <c r="G15" s="67">
        <v>0.3812525818593559</v>
      </c>
      <c r="H15" s="99">
        <v>141441.8160000002</v>
      </c>
      <c r="I15" s="99">
        <v>46567.967796957921</v>
      </c>
      <c r="J15" s="67">
        <v>0.32923762656552602</v>
      </c>
      <c r="K15" s="98">
        <f t="shared" si="32"/>
        <v>0</v>
      </c>
      <c r="L15" s="98">
        <f t="shared" si="33"/>
        <v>0</v>
      </c>
      <c r="M15" s="98">
        <f t="shared" si="34"/>
        <v>0</v>
      </c>
      <c r="N15" s="98"/>
      <c r="O15" s="53"/>
      <c r="P15" s="55">
        <f>WrightZucman!O36</f>
        <v>69.447000000000003</v>
      </c>
      <c r="Q15" s="76"/>
      <c r="R15" s="76"/>
      <c r="S15" s="76"/>
      <c r="T15" s="54"/>
      <c r="U15" s="72">
        <f t="shared" si="36"/>
        <v>0.32775589208706124</v>
      </c>
      <c r="V15" s="53">
        <v>26.686</v>
      </c>
      <c r="W15" s="45"/>
      <c r="X15" s="56"/>
      <c r="Y15" s="54">
        <f t="shared" si="0"/>
        <v>0.38426425907526601</v>
      </c>
      <c r="Z15" s="56"/>
      <c r="AA15" s="54">
        <f t="shared" si="1"/>
        <v>0.34595034066973107</v>
      </c>
      <c r="AB15" s="54"/>
      <c r="AD15" s="55">
        <f t="shared" si="2"/>
        <v>467.32345260111356</v>
      </c>
      <c r="AE15" s="53">
        <f t="shared" si="3"/>
        <v>32.91353226827674</v>
      </c>
      <c r="AF15" s="53">
        <f t="shared" si="16"/>
        <v>434.4099203328368</v>
      </c>
      <c r="AG15" s="55">
        <f t="shared" si="17"/>
        <v>467.32345260111356</v>
      </c>
      <c r="AH15" s="53">
        <f t="shared" si="18"/>
        <v>379.30546773172324</v>
      </c>
      <c r="AI15" s="53">
        <f t="shared" si="4"/>
        <v>88.017984869390332</v>
      </c>
      <c r="AJ15" s="53"/>
      <c r="AK15" s="55">
        <f t="shared" si="19"/>
        <v>500.23698486939031</v>
      </c>
      <c r="AL15" s="53">
        <f t="shared" si="5"/>
        <v>412.21899999999999</v>
      </c>
      <c r="AM15" s="53">
        <f t="shared" si="20"/>
        <v>88.017984869390332</v>
      </c>
      <c r="AN15" s="55">
        <f t="shared" si="21"/>
        <v>500.23698486939031</v>
      </c>
      <c r="AO15" s="53">
        <f t="shared" si="22"/>
        <v>434.4099203328368</v>
      </c>
      <c r="AP15" s="53">
        <v>65.827064536553479</v>
      </c>
      <c r="AQ15" s="53">
        <f t="shared" si="6"/>
        <v>0</v>
      </c>
      <c r="AR15" s="56">
        <f>Data!AM15/Data!AK15</f>
        <v>0.1759525735434605</v>
      </c>
      <c r="AS15" s="56">
        <f>Data!AI15/Data!AG15</f>
        <v>0.18834489127280876</v>
      </c>
      <c r="AT15" s="56"/>
      <c r="AV15" s="53">
        <f>'[1]Assets(BoP)'!$D84</f>
        <v>477.2</v>
      </c>
      <c r="AW15" s="53">
        <v>18.399999999999999</v>
      </c>
      <c r="AX15" s="53">
        <f>'[1]Assets(BoP)'!$CI84</f>
        <v>0</v>
      </c>
      <c r="AY15" s="53">
        <f t="shared" si="7"/>
        <v>9.7740000000000009</v>
      </c>
      <c r="AZ15" s="53">
        <f t="shared" si="23"/>
        <v>468.57400000000001</v>
      </c>
      <c r="BA15" s="53">
        <v>56.354999999999997</v>
      </c>
      <c r="BB15" s="53">
        <f t="shared" si="24"/>
        <v>412.21899999999999</v>
      </c>
      <c r="BC15" s="53">
        <f t="shared" si="28"/>
        <v>50.735999999999997</v>
      </c>
      <c r="BD15" s="53">
        <v>5.6189999999999998</v>
      </c>
      <c r="BE15" s="96">
        <f t="shared" si="8"/>
        <v>9.9707213202022887E-2</v>
      </c>
      <c r="BF15" s="53">
        <v>57.539000000000001</v>
      </c>
      <c r="BG15" s="106">
        <f t="shared" si="25"/>
        <v>82.398984869390333</v>
      </c>
      <c r="BI15" s="84">
        <f>'[1]Assets(BoP)'!$Q84</f>
        <v>5.2000000000000011</v>
      </c>
      <c r="BK15" s="78">
        <f t="shared" si="9"/>
        <v>9.7740000000000009</v>
      </c>
      <c r="BL15" s="81">
        <v>-4.5739999999999998</v>
      </c>
      <c r="BM15" s="78">
        <v>0</v>
      </c>
      <c r="BP15">
        <v>1992</v>
      </c>
      <c r="BQ15" s="56">
        <f>Data!AR15*WrightZucman!B36</f>
        <v>3.4173518106674086E-2</v>
      </c>
      <c r="BR15" s="67">
        <f>$BQ15*WrightZucman!C36/WrightZucman!$B36</f>
        <v>8.779006542083757E-3</v>
      </c>
      <c r="BS15" s="73">
        <f>WrightZucman!C36*Data!AS15-BR15</f>
        <v>6.1830433182414983E-4</v>
      </c>
      <c r="BT15" s="67">
        <f>$BQ15*WrightZucman!D36/WrightZucman!$B36</f>
        <v>9.5948334126612373E-3</v>
      </c>
      <c r="BU15" s="67">
        <f>$BQ15*WrightZucman!E36/WrightZucman!$B36</f>
        <v>3.8055029801471298E-3</v>
      </c>
      <c r="BV15" s="67">
        <f>$BQ15*WrightZucman!F36/WrightZucman!$B36</f>
        <v>8.1785376963481576E-3</v>
      </c>
      <c r="BW15" s="67">
        <f>$BQ15*WrightZucman!G36/WrightZucman!$B36</f>
        <v>3.8156374754338062E-3</v>
      </c>
      <c r="BX15" s="71">
        <f t="shared" si="10"/>
        <v>0</v>
      </c>
      <c r="BY15" s="71"/>
      <c r="BZ15" s="67">
        <f>Data!AR15*WrightZucman!B36</f>
        <v>3.4173518106674086E-2</v>
      </c>
      <c r="CA15" s="67">
        <f>Data!D15*WrightZucman!B36</f>
        <v>5.9235503505691886E-2</v>
      </c>
      <c r="CB15" s="73"/>
      <c r="CC15" s="73"/>
      <c r="CD15" s="73"/>
      <c r="CE15" s="73"/>
      <c r="CF15" s="73"/>
      <c r="CG15" s="74"/>
      <c r="CH15"/>
      <c r="CI15"/>
      <c r="CJ15" s="53">
        <f t="shared" si="26"/>
        <v>126.4</v>
      </c>
      <c r="CK15" s="53">
        <v>102</v>
      </c>
      <c r="CL15" s="53">
        <v>24.4</v>
      </c>
      <c r="CM15" s="53">
        <f t="shared" si="11"/>
        <v>31.662984869390332</v>
      </c>
      <c r="CN15" s="56">
        <f t="shared" si="12"/>
        <v>0.33823037125488725</v>
      </c>
      <c r="CO15" s="56">
        <f>'[1]Assets(BoP)'!$BN84</f>
        <v>0.37780777975680835</v>
      </c>
      <c r="CQ15" s="54"/>
      <c r="CR15" s="54">
        <f t="shared" si="13"/>
        <v>0.78900920196085189</v>
      </c>
      <c r="CS15" s="54"/>
      <c r="CT15" s="54"/>
      <c r="CU15" s="54"/>
      <c r="CV15" s="54">
        <f t="shared" si="29"/>
        <v>2.6842248190584622E-7</v>
      </c>
      <c r="CW15" s="54">
        <f t="shared" si="35"/>
        <v>0.58039999007033716</v>
      </c>
      <c r="CX15" s="54"/>
      <c r="CY15" s="54">
        <f t="shared" si="30"/>
        <v>6.8864558584244112E-7</v>
      </c>
      <c r="CZ15" s="57">
        <f t="shared" si="14"/>
        <v>0.84281378114159577</v>
      </c>
      <c r="DA15" s="57">
        <f t="shared" si="15"/>
        <v>0.84281378114159577</v>
      </c>
      <c r="DB15" s="81">
        <f t="shared" si="31"/>
        <v>0.68864558584244107</v>
      </c>
    </row>
    <row r="16" spans="1:106" x14ac:dyDescent="0.2">
      <c r="A16" s="85">
        <v>1993</v>
      </c>
      <c r="B16" s="99">
        <v>178070.17900000021</v>
      </c>
      <c r="C16" s="99">
        <v>50243.83699999997</v>
      </c>
      <c r="D16" s="67">
        <v>0.2821575026327115</v>
      </c>
      <c r="E16" s="99">
        <v>147436.36500000019</v>
      </c>
      <c r="F16" s="99">
        <v>46877.182999999917</v>
      </c>
      <c r="G16" s="67">
        <v>0.31794858073176091</v>
      </c>
      <c r="H16" s="99">
        <v>157103.16699999999</v>
      </c>
      <c r="I16" s="99">
        <v>49368.896402326798</v>
      </c>
      <c r="J16" s="67">
        <v>0.3142450743995937</v>
      </c>
      <c r="K16" s="98">
        <f t="shared" si="32"/>
        <v>0</v>
      </c>
      <c r="L16" s="98">
        <f t="shared" si="33"/>
        <v>0</v>
      </c>
      <c r="M16" s="98">
        <f t="shared" si="34"/>
        <v>0</v>
      </c>
      <c r="N16" s="98"/>
      <c r="O16" s="53"/>
      <c r="P16" s="55">
        <f>WrightZucman!O37</f>
        <v>73.786999999999992</v>
      </c>
      <c r="Q16" s="76"/>
      <c r="R16" s="110"/>
      <c r="S16" s="76"/>
      <c r="T16" s="54"/>
      <c r="U16" s="72">
        <f t="shared" si="36"/>
        <v>0.31552234974878629</v>
      </c>
      <c r="V16" s="53">
        <v>24.315999999999999</v>
      </c>
      <c r="W16" s="45"/>
      <c r="X16" s="56"/>
      <c r="Y16" s="54">
        <f t="shared" si="0"/>
        <v>0.32954314445634059</v>
      </c>
      <c r="Z16" s="56"/>
      <c r="AA16" s="54">
        <f t="shared" si="1"/>
        <v>0.29585249094774835</v>
      </c>
      <c r="AB16" s="54"/>
      <c r="AD16" s="55">
        <f t="shared" si="2"/>
        <v>513.45902567986855</v>
      </c>
      <c r="AE16" s="53">
        <f t="shared" si="3"/>
        <v>33.460841312915122</v>
      </c>
      <c r="AF16" s="53">
        <f t="shared" si="16"/>
        <v>479.99818436695341</v>
      </c>
      <c r="AG16" s="55">
        <f t="shared" si="17"/>
        <v>513.45902567986855</v>
      </c>
      <c r="AH16" s="53">
        <f t="shared" si="18"/>
        <v>418.96215868708487</v>
      </c>
      <c r="AI16" s="53">
        <f t="shared" si="4"/>
        <v>94.496866992783652</v>
      </c>
      <c r="AJ16" s="53"/>
      <c r="AK16" s="55">
        <f t="shared" si="19"/>
        <v>546.91986699278368</v>
      </c>
      <c r="AL16" s="53">
        <f t="shared" si="5"/>
        <v>452.42300000000006</v>
      </c>
      <c r="AM16" s="53">
        <f t="shared" si="20"/>
        <v>94.496866992783652</v>
      </c>
      <c r="AN16" s="55">
        <f t="shared" si="21"/>
        <v>546.91986699278368</v>
      </c>
      <c r="AO16" s="53">
        <f t="shared" si="22"/>
        <v>479.99818436695341</v>
      </c>
      <c r="AP16" s="53">
        <v>66.921682625830243</v>
      </c>
      <c r="AQ16" s="53">
        <f t="shared" si="6"/>
        <v>0</v>
      </c>
      <c r="AR16" s="56">
        <f>Data!AM16/Data!AK16</f>
        <v>0.17278009576132383</v>
      </c>
      <c r="AS16" s="56">
        <f>Data!AI16/Data!AG16</f>
        <v>0.18403974273830481</v>
      </c>
      <c r="AT16" s="56"/>
      <c r="AV16" s="53">
        <f>'[1]Assets(BoP)'!$D85</f>
        <v>524.6</v>
      </c>
      <c r="AW16" s="53">
        <v>16.8</v>
      </c>
      <c r="AX16" s="53">
        <f>'[1]Assets(BoP)'!$CI85</f>
        <v>0</v>
      </c>
      <c r="AY16" s="53">
        <f t="shared" si="7"/>
        <v>10.187999999999999</v>
      </c>
      <c r="AZ16" s="53">
        <f t="shared" si="23"/>
        <v>517.98800000000006</v>
      </c>
      <c r="BA16" s="53">
        <v>65.564999999999998</v>
      </c>
      <c r="BB16" s="53">
        <f t="shared" si="24"/>
        <v>452.42300000000006</v>
      </c>
      <c r="BC16" s="53">
        <f t="shared" si="28"/>
        <v>58.861999999999995</v>
      </c>
      <c r="BD16" s="53">
        <v>6.7030000000000003</v>
      </c>
      <c r="BE16" s="96">
        <f t="shared" si="8"/>
        <v>0.1022344238541905</v>
      </c>
      <c r="BF16" s="53">
        <v>67.245000000000005</v>
      </c>
      <c r="BG16" s="106">
        <f t="shared" si="25"/>
        <v>87.793866992783649</v>
      </c>
      <c r="BI16" s="84">
        <f>'[1]Assets(BoP)'!$Q85</f>
        <v>11.999999999999998</v>
      </c>
      <c r="BK16" s="78">
        <f t="shared" si="9"/>
        <v>10.187999999999999</v>
      </c>
      <c r="BL16" s="81">
        <v>1.8120000000000001</v>
      </c>
      <c r="BM16" s="78">
        <v>0</v>
      </c>
      <c r="BP16">
        <v>1993</v>
      </c>
      <c r="BQ16" s="56">
        <f>Data!AR16*WrightZucman!B37</f>
        <v>3.324612465094496E-2</v>
      </c>
      <c r="BR16" s="67">
        <f>$BQ16*WrightZucman!C37/WrightZucman!$B37</f>
        <v>7.7905237860046396E-3</v>
      </c>
      <c r="BS16" s="73">
        <f>WrightZucman!C37*Data!AS16-BR16</f>
        <v>5.0768896272264472E-4</v>
      </c>
      <c r="BT16" s="67">
        <f>$BQ16*WrightZucman!D37/WrightZucman!$B37</f>
        <v>7.2636623938041461E-3</v>
      </c>
      <c r="BU16" s="67">
        <f>$BQ16*WrightZucman!E37/WrightZucman!$B37</f>
        <v>4.6715043441777149E-3</v>
      </c>
      <c r="BV16" s="67">
        <f>$BQ16*WrightZucman!F37/WrightZucman!$B37</f>
        <v>7.5727544105617696E-3</v>
      </c>
      <c r="BW16" s="67">
        <f>$BQ16*WrightZucman!G37/WrightZucman!$B37</f>
        <v>5.9476797163966885E-3</v>
      </c>
      <c r="BX16" s="71">
        <f t="shared" si="10"/>
        <v>0</v>
      </c>
      <c r="BY16" s="71"/>
      <c r="BZ16" s="67">
        <f>Data!AR16*WrightZucman!B37</f>
        <v>3.324612465094496E-2</v>
      </c>
      <c r="CA16" s="67">
        <f>Data!D16*WrightZucman!B37</f>
        <v>5.4292385140732619E-2</v>
      </c>
      <c r="CB16" s="73"/>
      <c r="CC16" s="73"/>
      <c r="CD16" s="73"/>
      <c r="CE16" s="73"/>
      <c r="CF16" s="73"/>
      <c r="CG16" s="74"/>
      <c r="CH16"/>
      <c r="CI16"/>
      <c r="CJ16" s="53">
        <f t="shared" si="26"/>
        <v>149.4</v>
      </c>
      <c r="CK16" s="53">
        <v>122.5</v>
      </c>
      <c r="CL16" s="53">
        <v>26.9</v>
      </c>
      <c r="CM16" s="53">
        <f t="shared" si="11"/>
        <v>28.931866992783654</v>
      </c>
      <c r="CN16" s="56">
        <f t="shared" si="12"/>
        <v>0.34731469907779949</v>
      </c>
      <c r="CO16" s="56">
        <f>'[1]Assets(BoP)'!$BN85</f>
        <v>0.38705472191516516</v>
      </c>
      <c r="CQ16" s="54"/>
      <c r="CR16" s="54">
        <f t="shared" si="13"/>
        <v>0.78084070242915893</v>
      </c>
      <c r="CS16" s="54"/>
      <c r="CT16" s="54"/>
      <c r="CU16" s="54"/>
      <c r="CV16" s="54">
        <f t="shared" si="29"/>
        <v>2.8714338949399213E-7</v>
      </c>
      <c r="CW16" s="54">
        <f t="shared" si="35"/>
        <v>0.53394598740995269</v>
      </c>
      <c r="CX16" s="54"/>
      <c r="CY16" s="54">
        <f t="shared" si="30"/>
        <v>6.3530409150663295E-7</v>
      </c>
      <c r="CZ16" s="57">
        <f t="shared" si="14"/>
        <v>0.840457340899052</v>
      </c>
      <c r="DA16" s="57">
        <f t="shared" si="15"/>
        <v>0.84045734089905189</v>
      </c>
      <c r="DB16" s="81">
        <f t="shared" si="31"/>
        <v>0.63530409150663292</v>
      </c>
    </row>
    <row r="17" spans="1:106" x14ac:dyDescent="0.2">
      <c r="A17" s="85">
        <v>1994</v>
      </c>
      <c r="B17" s="99">
        <v>239721.16</v>
      </c>
      <c r="C17" s="99">
        <v>73372.815999999919</v>
      </c>
      <c r="D17" s="67">
        <v>0.30607567558908833</v>
      </c>
      <c r="E17" s="99">
        <v>230103.76900000009</v>
      </c>
      <c r="F17" s="99">
        <v>72384.576999999961</v>
      </c>
      <c r="G17" s="67">
        <v>0.31457362612778389</v>
      </c>
      <c r="H17" s="99">
        <v>231342.663</v>
      </c>
      <c r="I17" s="99">
        <v>73160.513336494041</v>
      </c>
      <c r="J17" s="67">
        <v>0.3162430672655222</v>
      </c>
      <c r="K17" s="98">
        <f t="shared" si="32"/>
        <v>0</v>
      </c>
      <c r="L17" s="98">
        <f t="shared" si="33"/>
        <v>0</v>
      </c>
      <c r="M17" s="98">
        <f t="shared" si="34"/>
        <v>0</v>
      </c>
      <c r="N17" s="98"/>
      <c r="O17" s="53">
        <v>238.85300000000001</v>
      </c>
      <c r="P17" s="55">
        <f>WrightZucman!O38</f>
        <v>84.9</v>
      </c>
      <c r="Q17" s="54">
        <f>P17/(P17+O17)</f>
        <v>0.26223695224445798</v>
      </c>
      <c r="R17" s="110">
        <f>BC17/(1-Y17)</f>
        <v>103.97628499002211</v>
      </c>
      <c r="S17" s="53"/>
      <c r="T17" s="54">
        <f>R17/(R17+O17)</f>
        <v>0.30328880741051129</v>
      </c>
      <c r="U17" s="56">
        <f>T17</f>
        <v>0.30328880741051129</v>
      </c>
      <c r="V17" s="53">
        <v>29.277000000000001</v>
      </c>
      <c r="W17" s="53">
        <v>93.956999999999994</v>
      </c>
      <c r="X17" s="56">
        <f>W17/O17</f>
        <v>0.39336746869413403</v>
      </c>
      <c r="Y17" s="54">
        <f t="shared" si="0"/>
        <v>0.34484098939929325</v>
      </c>
      <c r="Z17" s="56">
        <f>(V17+W17)/(O17+P17)</f>
        <v>0.38064203266070112</v>
      </c>
      <c r="AA17" s="54">
        <f t="shared" si="1"/>
        <v>0.31305773203711845</v>
      </c>
      <c r="AB17" s="54">
        <f>(V17+W17)/(P17/(1-BE17)+O17)</f>
        <v>0.37077075583949087</v>
      </c>
      <c r="AD17" s="55">
        <f t="shared" si="2"/>
        <v>605.62730204400191</v>
      </c>
      <c r="AE17" s="53">
        <f t="shared" si="3"/>
        <v>47.872982946020151</v>
      </c>
      <c r="AF17" s="53">
        <f t="shared" si="16"/>
        <v>557.75431909798181</v>
      </c>
      <c r="AG17" s="55">
        <f t="shared" si="17"/>
        <v>605.62730204400191</v>
      </c>
      <c r="AH17" s="53">
        <f t="shared" si="18"/>
        <v>494.73501705397979</v>
      </c>
      <c r="AI17" s="53">
        <f t="shared" si="4"/>
        <v>110.89228499002211</v>
      </c>
      <c r="AJ17" s="53"/>
      <c r="AK17" s="55">
        <f t="shared" si="19"/>
        <v>653.50028499002201</v>
      </c>
      <c r="AL17" s="53">
        <f t="shared" si="5"/>
        <v>542.60799999999995</v>
      </c>
      <c r="AM17" s="53">
        <f t="shared" si="20"/>
        <v>110.89228499002211</v>
      </c>
      <c r="AN17" s="55">
        <f t="shared" si="21"/>
        <v>653.50028499002201</v>
      </c>
      <c r="AO17" s="53">
        <f t="shared" si="22"/>
        <v>557.75431909798169</v>
      </c>
      <c r="AP17" s="53">
        <v>95.745965892040303</v>
      </c>
      <c r="AQ17" s="53">
        <f t="shared" si="6"/>
        <v>0</v>
      </c>
      <c r="AR17" s="56">
        <f>Data!AM17/Data!AK17</f>
        <v>0.16968972705454177</v>
      </c>
      <c r="AS17" s="56">
        <f>Data!AI17/Data!AG17</f>
        <v>0.18310318015016638</v>
      </c>
      <c r="AT17" s="56"/>
      <c r="AV17" s="53">
        <f>'[1]Assets(BoP)'!$D86</f>
        <v>624.79999999999995</v>
      </c>
      <c r="AW17" s="53">
        <v>18.600000000000001</v>
      </c>
      <c r="AX17" s="53">
        <f>'[1]Assets(BoP)'!$CI86</f>
        <v>0</v>
      </c>
      <c r="AY17" s="53">
        <f t="shared" si="7"/>
        <v>11.445000000000002</v>
      </c>
      <c r="AZ17" s="53">
        <f t="shared" si="23"/>
        <v>617.64499999999998</v>
      </c>
      <c r="BA17" s="53">
        <v>75.037000000000006</v>
      </c>
      <c r="BB17" s="53">
        <f t="shared" si="24"/>
        <v>542.60799999999995</v>
      </c>
      <c r="BC17" s="53">
        <f t="shared" si="28"/>
        <v>68.121000000000009</v>
      </c>
      <c r="BD17" s="53">
        <v>6.9160000000000004</v>
      </c>
      <c r="BE17" s="96">
        <f t="shared" si="8"/>
        <v>9.2167863853832105E-2</v>
      </c>
      <c r="BF17" s="53">
        <v>77.343999999999994</v>
      </c>
      <c r="BG17" s="106">
        <f t="shared" si="25"/>
        <v>103.97628499002211</v>
      </c>
      <c r="BI17" s="84">
        <f>'[1]Assets(BoP)'!$Q86</f>
        <v>26.6</v>
      </c>
      <c r="BK17" s="78">
        <f t="shared" si="9"/>
        <v>11.445000000000002</v>
      </c>
      <c r="BL17" s="81">
        <v>15.154999999999999</v>
      </c>
      <c r="BM17" s="78">
        <v>0</v>
      </c>
      <c r="BP17">
        <v>1994</v>
      </c>
      <c r="BQ17" s="56">
        <f>Data!AR17*WrightZucman!B38</f>
        <v>3.2121126071773157E-2</v>
      </c>
      <c r="BR17" s="67">
        <f>$BQ17*WrightZucman!C38/WrightZucman!$B38</f>
        <v>7.7269786194682976E-3</v>
      </c>
      <c r="BS17" s="73">
        <f>WrightZucman!C38*Data!AS17-BR17</f>
        <v>6.1079398901866654E-4</v>
      </c>
      <c r="BT17" s="67">
        <f>$BQ17*WrightZucman!D38/WrightZucman!$B38</f>
        <v>7.9508331475025579E-3</v>
      </c>
      <c r="BU17" s="67">
        <f>$BQ17*WrightZucman!E38/WrightZucman!$B38</f>
        <v>4.6829567784309935E-3</v>
      </c>
      <c r="BV17" s="67">
        <f>$BQ17*WrightZucman!F38/WrightZucman!$B38</f>
        <v>6.0580631649271638E-3</v>
      </c>
      <c r="BW17" s="67">
        <f>$BQ17*WrightZucman!G38/WrightZucman!$B38</f>
        <v>5.702294361444143E-3</v>
      </c>
      <c r="BX17" s="71">
        <f t="shared" si="10"/>
        <v>0</v>
      </c>
      <c r="BY17" s="71"/>
      <c r="BZ17" s="67">
        <f>Data!AR17*WrightZucman!B38</f>
        <v>3.2121126071773157E-2</v>
      </c>
      <c r="CA17" s="67">
        <f>Data!D17*WrightZucman!B38</f>
        <v>5.7938070463983971E-2</v>
      </c>
      <c r="CB17" s="73">
        <f>Data!Q17*WrightZucman!B38</f>
        <v>4.9639694458429737E-2</v>
      </c>
      <c r="CC17" s="73">
        <f>WrightZucman!C38*Data!$Q17</f>
        <v>1.194120208924705E-2</v>
      </c>
      <c r="CD17" s="73">
        <f>WrightZucman!D38*Data!$Q17</f>
        <v>1.2287144829545982E-2</v>
      </c>
      <c r="CE17" s="73">
        <f>WrightZucman!E38*Data!$Q17</f>
        <v>7.2369985760749713E-3</v>
      </c>
      <c r="CF17" s="73">
        <f>WrightZucman!F38*Data!$Q17</f>
        <v>9.3620754093398373E-3</v>
      </c>
      <c r="CG17" s="73">
        <f>WrightZucman!G38*Data!$Q17</f>
        <v>8.812273554221893E-3</v>
      </c>
      <c r="CH17" s="71">
        <f t="shared" ref="CH17:CH43" si="37">CB17-CC17-CD17-CE17-CF17-CG17</f>
        <v>0</v>
      </c>
      <c r="CI17" s="71"/>
      <c r="CJ17" s="53">
        <f t="shared" si="26"/>
        <v>166.3</v>
      </c>
      <c r="CK17" s="53">
        <v>136.30000000000001</v>
      </c>
      <c r="CL17" s="53">
        <v>30</v>
      </c>
      <c r="CM17" s="53">
        <f t="shared" si="11"/>
        <v>35.855284990022106</v>
      </c>
      <c r="CN17" s="56">
        <f t="shared" si="12"/>
        <v>0.33379486741721315</v>
      </c>
      <c r="CO17" s="56">
        <f>'[1]Assets(BoP)'!$BN86</f>
        <v>0.36426849585152155</v>
      </c>
      <c r="CQ17" s="54">
        <f t="shared" ref="CQ17:CQ42" si="38">(O17+P17)/AD17</f>
        <v>0.5345746450124168</v>
      </c>
      <c r="CR17" s="54">
        <f t="shared" si="13"/>
        <v>0.76560781489568153</v>
      </c>
      <c r="CS17" s="54">
        <f t="shared" ref="CS17:CS42" si="39">O17/AL17</f>
        <v>0.44019439447999298</v>
      </c>
      <c r="CT17" s="54">
        <f t="shared" ref="CT17:CT42" si="40">O17/(AL17-0.5*AP17)</f>
        <v>0.48278975970269578</v>
      </c>
      <c r="CU17" s="54">
        <f t="shared" ref="CU17:CU42" si="41">(O17+P17)/AD17</f>
        <v>0.5345746450124168</v>
      </c>
      <c r="CV17" s="54">
        <f t="shared" si="29"/>
        <v>3.7994285961580031E-7</v>
      </c>
      <c r="CW17" s="54">
        <f t="shared" si="35"/>
        <v>0.69616429368433597</v>
      </c>
      <c r="CX17" s="54">
        <f t="shared" ref="CX17:CX42" si="42">((E17-F17)/1000000000)/O17</f>
        <v>6.6031907491218503E-7</v>
      </c>
      <c r="CY17" s="54">
        <f t="shared" si="30"/>
        <v>8.5258630153121265E-7</v>
      </c>
      <c r="CZ17" s="57">
        <f t="shared" si="14"/>
        <v>0.81653234685339326</v>
      </c>
      <c r="DA17" s="57">
        <f t="shared" si="15"/>
        <v>0.81653234685339315</v>
      </c>
      <c r="DB17" s="81">
        <f t="shared" si="31"/>
        <v>0.85258630153121273</v>
      </c>
    </row>
    <row r="18" spans="1:106" x14ac:dyDescent="0.2">
      <c r="A18" s="85">
        <v>1995</v>
      </c>
      <c r="B18" s="99">
        <v>272903.03900000069</v>
      </c>
      <c r="C18" s="99">
        <v>94225.191999999952</v>
      </c>
      <c r="D18" s="67">
        <v>0.3452698524181686</v>
      </c>
      <c r="E18" s="99">
        <v>255810.61500000031</v>
      </c>
      <c r="F18" s="99">
        <v>93586.161999999938</v>
      </c>
      <c r="G18" s="67">
        <v>0.36584158948994278</v>
      </c>
      <c r="H18" s="99">
        <v>257936.1870000003</v>
      </c>
      <c r="I18" s="99">
        <v>94016.584211549998</v>
      </c>
      <c r="J18" s="67">
        <v>0.36449551846538653</v>
      </c>
      <c r="K18" s="98">
        <f t="shared" si="32"/>
        <v>0</v>
      </c>
      <c r="L18" s="98">
        <f t="shared" si="33"/>
        <v>0</v>
      </c>
      <c r="M18" s="98">
        <f t="shared" si="34"/>
        <v>0</v>
      </c>
      <c r="N18" s="98"/>
      <c r="O18" s="53">
        <v>266.28500000000003</v>
      </c>
      <c r="P18" s="55">
        <f>WrightZucman!O39</f>
        <v>114.88</v>
      </c>
      <c r="Q18" s="54">
        <f t="shared" ref="Q18:Q44" si="43">P18/(P18+O18)</f>
        <v>0.30139178570960079</v>
      </c>
      <c r="R18" s="110">
        <f t="shared" ref="R18:R43" si="44">BC18/(1-Y18)</f>
        <v>130.04804374400294</v>
      </c>
      <c r="S18" s="53"/>
      <c r="T18" s="54">
        <f t="shared" ref="T18:T43" si="45">R18/(R18+O18)</f>
        <v>0.32812818864531212</v>
      </c>
      <c r="U18" s="56">
        <f t="shared" ref="U18:U43" si="46">T18</f>
        <v>0.32812818864531212</v>
      </c>
      <c r="V18" s="53">
        <v>38.801000000000002</v>
      </c>
      <c r="W18" s="53"/>
      <c r="X18" s="56"/>
      <c r="Y18" s="54">
        <f t="shared" si="0"/>
        <v>0.33775243732590532</v>
      </c>
      <c r="Z18" s="56"/>
      <c r="AA18" s="54">
        <f t="shared" si="1"/>
        <v>0.31345464345103741</v>
      </c>
      <c r="AB18" s="54"/>
      <c r="AD18" s="55">
        <f t="shared" si="2"/>
        <v>687.21747155765343</v>
      </c>
      <c r="AE18" s="53">
        <f t="shared" si="3"/>
        <v>52.024572186349602</v>
      </c>
      <c r="AF18" s="53">
        <f t="shared" si="16"/>
        <v>635.19289937130384</v>
      </c>
      <c r="AG18" s="55">
        <f t="shared" si="17"/>
        <v>687.21747155765343</v>
      </c>
      <c r="AH18" s="53">
        <f t="shared" si="18"/>
        <v>550.49342781365044</v>
      </c>
      <c r="AI18" s="53">
        <f t="shared" si="4"/>
        <v>136.72404374400293</v>
      </c>
      <c r="AJ18" s="53"/>
      <c r="AK18" s="55">
        <f t="shared" si="19"/>
        <v>739.24204374400301</v>
      </c>
      <c r="AL18" s="53">
        <f t="shared" si="5"/>
        <v>602.51800000000003</v>
      </c>
      <c r="AM18" s="53">
        <f t="shared" si="20"/>
        <v>136.72404374400293</v>
      </c>
      <c r="AN18" s="55">
        <f t="shared" si="21"/>
        <v>739.24204374400301</v>
      </c>
      <c r="AO18" s="53">
        <f t="shared" si="22"/>
        <v>635.19289937130384</v>
      </c>
      <c r="AP18" s="53">
        <v>104.0491443726992</v>
      </c>
      <c r="AQ18" s="53">
        <f t="shared" si="6"/>
        <v>0</v>
      </c>
      <c r="AR18" s="56">
        <f>Data!AM18/Data!AK18</f>
        <v>0.18495166082754622</v>
      </c>
      <c r="AS18" s="56">
        <f>Data!AI18/Data!AG18</f>
        <v>0.1989530962216414</v>
      </c>
      <c r="AT18" s="56"/>
      <c r="AV18" s="53">
        <f>'[1]Assets(BoP)'!$D87</f>
        <v>706.2</v>
      </c>
      <c r="AW18" s="53">
        <v>23.1</v>
      </c>
      <c r="AX18" s="53">
        <f>'[1]Assets(BoP)'!$CI87</f>
        <v>0</v>
      </c>
      <c r="AY18" s="53">
        <f t="shared" si="7"/>
        <v>12.218</v>
      </c>
      <c r="AZ18" s="53">
        <f t="shared" si="23"/>
        <v>695.31799999999998</v>
      </c>
      <c r="BA18" s="53">
        <v>92.8</v>
      </c>
      <c r="BB18" s="53">
        <f t="shared" si="24"/>
        <v>602.51800000000003</v>
      </c>
      <c r="BC18" s="53">
        <f t="shared" si="28"/>
        <v>86.123999999999995</v>
      </c>
      <c r="BD18" s="53">
        <v>6.6760000000000002</v>
      </c>
      <c r="BE18" s="96">
        <f t="shared" si="8"/>
        <v>7.1939655172413797E-2</v>
      </c>
      <c r="BF18" s="53">
        <v>95.26</v>
      </c>
      <c r="BG18" s="106">
        <f t="shared" si="25"/>
        <v>130.04804374400294</v>
      </c>
      <c r="BI18" s="84">
        <f>'[1]Assets(BoP)'!$Q87</f>
        <v>34.4</v>
      </c>
      <c r="BK18" s="78">
        <f t="shared" si="9"/>
        <v>12.218</v>
      </c>
      <c r="BL18" s="81">
        <v>22.181999999999999</v>
      </c>
      <c r="BM18" s="78">
        <v>0</v>
      </c>
      <c r="BP18">
        <v>1995</v>
      </c>
      <c r="BQ18" s="56">
        <f>Data!AR18*WrightZucman!B39</f>
        <v>3.8560038548751389E-2</v>
      </c>
      <c r="BR18" s="67">
        <f>$BQ18*WrightZucman!C39/WrightZucman!$B39</f>
        <v>8.4265058562968051E-3</v>
      </c>
      <c r="BS18" s="73">
        <f>WrightZucman!C39*Data!AS18-BR18</f>
        <v>6.3791358680966373E-4</v>
      </c>
      <c r="BT18" s="67">
        <f>$BQ18*WrightZucman!D39/WrightZucman!$B39</f>
        <v>1.0955745577397737E-2</v>
      </c>
      <c r="BU18" s="67">
        <f>$BQ18*WrightZucman!E39/WrightZucman!$B39</f>
        <v>5.7829593113905469E-3</v>
      </c>
      <c r="BV18" s="67">
        <f>$BQ18*WrightZucman!F39/WrightZucman!$B39</f>
        <v>7.0177949995410332E-3</v>
      </c>
      <c r="BW18" s="67">
        <f>$BQ18*WrightZucman!G39/WrightZucman!$B39</f>
        <v>6.3770328041252659E-3</v>
      </c>
      <c r="BX18" s="71">
        <f t="shared" si="10"/>
        <v>0</v>
      </c>
      <c r="BY18" s="71"/>
      <c r="BZ18" s="67">
        <f>Data!AR18*WrightZucman!B39</f>
        <v>3.8560038548751389E-2</v>
      </c>
      <c r="CA18" s="67">
        <f>Data!D18*WrightZucman!B39</f>
        <v>7.1984316114794195E-2</v>
      </c>
      <c r="CB18" s="73">
        <f>Data!Q18*WrightZucman!B39</f>
        <v>6.2836304487557879E-2</v>
      </c>
      <c r="CC18" s="73">
        <f>WrightZucman!C39*Data!$Q18</f>
        <v>1.3731586058531082E-2</v>
      </c>
      <c r="CD18" s="73">
        <f>WrightZucman!D39*Data!$Q18</f>
        <v>1.7853160704681698E-2</v>
      </c>
      <c r="CE18" s="73">
        <f>WrightZucman!E39*Data!$Q18</f>
        <v>9.4237403749032542E-3</v>
      </c>
      <c r="CF18" s="73">
        <f>WrightZucman!F39*Data!$Q18</f>
        <v>1.1435992286804924E-2</v>
      </c>
      <c r="CG18" s="73">
        <f>WrightZucman!G39*Data!$Q18</f>
        <v>1.0391825062636913E-2</v>
      </c>
      <c r="CH18" s="71">
        <f t="shared" si="37"/>
        <v>0</v>
      </c>
      <c r="CI18" s="71"/>
      <c r="CJ18" s="53">
        <f t="shared" si="26"/>
        <v>187.6</v>
      </c>
      <c r="CK18" s="53">
        <v>155.9</v>
      </c>
      <c r="CL18" s="53">
        <v>31.7</v>
      </c>
      <c r="CM18" s="53">
        <f t="shared" si="11"/>
        <v>43.924043744002951</v>
      </c>
      <c r="CN18" s="56">
        <f t="shared" si="12"/>
        <v>0.33690069494192054</v>
      </c>
      <c r="CO18" s="56">
        <f>'[1]Assets(BoP)'!$BN87</f>
        <v>0.36090361769803869</v>
      </c>
      <c r="CQ18" s="54">
        <f t="shared" si="38"/>
        <v>0.55464975175332476</v>
      </c>
      <c r="CR18" s="54">
        <f t="shared" si="13"/>
        <v>0.84023260908737518</v>
      </c>
      <c r="CS18" s="54">
        <f t="shared" si="39"/>
        <v>0.44195360138618267</v>
      </c>
      <c r="CT18" s="54">
        <f t="shared" si="40"/>
        <v>0.48372057965811199</v>
      </c>
      <c r="CU18" s="54">
        <f t="shared" si="41"/>
        <v>0.55464975175332476</v>
      </c>
      <c r="CV18" s="54">
        <f t="shared" si="29"/>
        <v>3.722411399410111E-7</v>
      </c>
      <c r="CW18" s="54">
        <f t="shared" si="35"/>
        <v>0.71962760304355289</v>
      </c>
      <c r="CX18" s="54">
        <f t="shared" si="42"/>
        <v>6.0921363576619174E-7</v>
      </c>
      <c r="CY18" s="54">
        <f t="shared" si="30"/>
        <v>8.1464277506963739E-7</v>
      </c>
      <c r="CZ18" s="57">
        <f t="shared" si="14"/>
        <v>0.88336584459616363</v>
      </c>
      <c r="DA18" s="57">
        <f t="shared" si="15"/>
        <v>0.88336584459616363</v>
      </c>
      <c r="DB18" s="81">
        <f t="shared" si="31"/>
        <v>0.81464277506963745</v>
      </c>
    </row>
    <row r="19" spans="1:106" x14ac:dyDescent="0.2">
      <c r="A19" s="85">
        <v>1996</v>
      </c>
      <c r="B19" s="99">
        <v>315709.0159999996</v>
      </c>
      <c r="C19" s="99">
        <v>105506.9749999998</v>
      </c>
      <c r="D19" s="67">
        <v>0.33419056679711662</v>
      </c>
      <c r="E19" s="99">
        <v>299652.96199999942</v>
      </c>
      <c r="F19" s="99">
        <v>104925.6719999997</v>
      </c>
      <c r="G19" s="67">
        <v>0.35015729962982961</v>
      </c>
      <c r="H19" s="99">
        <v>300642.76199999929</v>
      </c>
      <c r="I19" s="99">
        <v>104971.6621616367</v>
      </c>
      <c r="J19" s="67">
        <v>0.34915745672146592</v>
      </c>
      <c r="K19" s="98">
        <f t="shared" si="32"/>
        <v>0</v>
      </c>
      <c r="L19" s="98">
        <f t="shared" si="33"/>
        <v>0</v>
      </c>
      <c r="M19" s="98">
        <f t="shared" si="34"/>
        <v>0</v>
      </c>
      <c r="N19" s="98"/>
      <c r="O19" s="53">
        <v>327.32400000000001</v>
      </c>
      <c r="P19" s="55">
        <f>WrightZucman!O40</f>
        <v>130.28700000000001</v>
      </c>
      <c r="Q19" s="54">
        <f t="shared" si="43"/>
        <v>0.28471125038515249</v>
      </c>
      <c r="R19" s="110">
        <f t="shared" si="44"/>
        <v>142.16968884188259</v>
      </c>
      <c r="S19" s="53"/>
      <c r="T19" s="54">
        <f t="shared" si="45"/>
        <v>0.30281490938158895</v>
      </c>
      <c r="U19" s="56">
        <f t="shared" si="46"/>
        <v>0.30281490938158895</v>
      </c>
      <c r="V19" s="53">
        <v>45.192</v>
      </c>
      <c r="W19" s="53"/>
      <c r="X19" s="56"/>
      <c r="Y19" s="54">
        <f t="shared" si="0"/>
        <v>0.34686499804278248</v>
      </c>
      <c r="Z19" s="56"/>
      <c r="AA19" s="54">
        <f t="shared" si="1"/>
        <v>0.32107678148873148</v>
      </c>
      <c r="AB19" s="54"/>
      <c r="AD19" s="55">
        <f t="shared" si="2"/>
        <v>766.52519012758364</v>
      </c>
      <c r="AE19" s="53">
        <f t="shared" si="3"/>
        <v>62.996498714298944</v>
      </c>
      <c r="AF19" s="53">
        <f t="shared" si="16"/>
        <v>703.52869141328472</v>
      </c>
      <c r="AG19" s="55">
        <f t="shared" si="17"/>
        <v>766.52519012758364</v>
      </c>
      <c r="AH19" s="53">
        <f t="shared" si="18"/>
        <v>616.89750128570108</v>
      </c>
      <c r="AI19" s="53">
        <f t="shared" si="4"/>
        <v>149.62768884188259</v>
      </c>
      <c r="AJ19" s="53"/>
      <c r="AK19" s="55">
        <f t="shared" si="19"/>
        <v>829.52168884188256</v>
      </c>
      <c r="AL19" s="53">
        <f t="shared" si="5"/>
        <v>679.89400000000001</v>
      </c>
      <c r="AM19" s="53">
        <f t="shared" si="20"/>
        <v>149.62768884188259</v>
      </c>
      <c r="AN19" s="55">
        <f t="shared" si="21"/>
        <v>829.52168884188256</v>
      </c>
      <c r="AO19" s="53">
        <f t="shared" si="22"/>
        <v>703.52869141328472</v>
      </c>
      <c r="AP19" s="53">
        <v>125.99299742859789</v>
      </c>
      <c r="AQ19" s="53">
        <f t="shared" si="6"/>
        <v>0</v>
      </c>
      <c r="AR19" s="56">
        <f>Data!AM19/Data!AK19</f>
        <v>0.1803782720265962</v>
      </c>
      <c r="AS19" s="56">
        <f>Data!AI19/Data!AG19</f>
        <v>0.19520257229508392</v>
      </c>
      <c r="AT19" s="56"/>
      <c r="AV19" s="53">
        <f>'[1]Assets(BoP)'!$D88</f>
        <v>789.5</v>
      </c>
      <c r="AW19" s="53">
        <v>22.7</v>
      </c>
      <c r="AX19" s="53">
        <f>'[1]Assets(BoP)'!$CI88</f>
        <v>0</v>
      </c>
      <c r="AY19" s="53">
        <f t="shared" si="7"/>
        <v>13.407999999999998</v>
      </c>
      <c r="AZ19" s="53">
        <f t="shared" si="23"/>
        <v>780.20799999999997</v>
      </c>
      <c r="BA19" s="53">
        <v>100.31399999999999</v>
      </c>
      <c r="BB19" s="53">
        <f t="shared" si="24"/>
        <v>679.89400000000001</v>
      </c>
      <c r="BC19" s="53">
        <f t="shared" si="28"/>
        <v>92.855999999999995</v>
      </c>
      <c r="BD19" s="53">
        <v>7.4580000000000002</v>
      </c>
      <c r="BE19" s="96">
        <f t="shared" si="8"/>
        <v>7.4346551827262408E-2</v>
      </c>
      <c r="BF19" s="53">
        <v>102.505</v>
      </c>
      <c r="BG19" s="106">
        <f t="shared" si="25"/>
        <v>142.16968884188259</v>
      </c>
      <c r="BI19" s="84">
        <f>'[1]Assets(BoP)'!$Q88</f>
        <v>37.4</v>
      </c>
      <c r="BK19" s="78">
        <f t="shared" si="9"/>
        <v>13.407999999999998</v>
      </c>
      <c r="BL19" s="81">
        <v>23.992000000000001</v>
      </c>
      <c r="BM19" s="78">
        <v>0</v>
      </c>
      <c r="BP19">
        <v>1996</v>
      </c>
      <c r="BQ19" s="56">
        <f>Data!AR19*WrightZucman!B40</f>
        <v>3.5587767639470212E-2</v>
      </c>
      <c r="BR19" s="67">
        <f>$BQ19*WrightZucman!C40/WrightZucman!$B40</f>
        <v>7.8513219328315721E-3</v>
      </c>
      <c r="BS19" s="73">
        <f>WrightZucman!C40*Data!AS19-BR19</f>
        <v>6.4525706189100772E-4</v>
      </c>
      <c r="BT19" s="67">
        <f>$BQ19*WrightZucman!D40/WrightZucman!$B40</f>
        <v>8.6930788954768905E-3</v>
      </c>
      <c r="BU19" s="67">
        <f>$BQ19*WrightZucman!E40/WrightZucman!$B40</f>
        <v>4.0924894433874322E-3</v>
      </c>
      <c r="BV19" s="67">
        <f>$BQ19*WrightZucman!F40/WrightZucman!$B40</f>
        <v>6.7866655113278732E-3</v>
      </c>
      <c r="BW19" s="67">
        <f>$BQ19*WrightZucman!G40/WrightZucman!$B40</f>
        <v>8.1642118564464426E-3</v>
      </c>
      <c r="BX19" s="71">
        <f t="shared" si="10"/>
        <v>0</v>
      </c>
      <c r="BY19" s="71"/>
      <c r="BZ19" s="67">
        <f>Data!AR19*WrightZucman!B40</f>
        <v>3.5587767639470212E-2</v>
      </c>
      <c r="CA19" s="67">
        <f>Data!D19*WrightZucman!B40</f>
        <v>6.5934195426403885E-2</v>
      </c>
      <c r="CB19" s="73">
        <f>Data!Q19*WrightZucman!B40</f>
        <v>5.6172163693617508E-2</v>
      </c>
      <c r="CC19" s="73">
        <f>WrightZucman!C40*Data!$Q19</f>
        <v>1.2392621680859944E-2</v>
      </c>
      <c r="CD19" s="73">
        <f>WrightZucman!D40*Data!$Q19</f>
        <v>1.3721261071084394E-2</v>
      </c>
      <c r="CE19" s="73">
        <f>WrightZucman!E40*Data!$Q19</f>
        <v>6.4596349301043908E-3</v>
      </c>
      <c r="CF19" s="73">
        <f>WrightZucman!F40*Data!$Q19</f>
        <v>1.0712155083684616E-2</v>
      </c>
      <c r="CG19" s="73">
        <f>WrightZucman!G40*Data!$Q19</f>
        <v>1.2886490927884164E-2</v>
      </c>
      <c r="CH19" s="71">
        <f t="shared" si="37"/>
        <v>0</v>
      </c>
      <c r="CI19" s="71"/>
      <c r="CJ19" s="53">
        <f t="shared" si="26"/>
        <v>203.5</v>
      </c>
      <c r="CK19" s="53">
        <v>170.5</v>
      </c>
      <c r="CL19" s="53">
        <v>33</v>
      </c>
      <c r="CM19" s="53">
        <f t="shared" si="11"/>
        <v>49.313688841882602</v>
      </c>
      <c r="CN19" s="56">
        <f t="shared" si="12"/>
        <v>0.3298178482559761</v>
      </c>
      <c r="CO19" s="56">
        <f>'[1]Assets(BoP)'!$BN88</f>
        <v>0.36179958891956554</v>
      </c>
      <c r="CQ19" s="54">
        <f t="shared" si="38"/>
        <v>0.59699407911673885</v>
      </c>
      <c r="CR19" s="54">
        <f t="shared" si="13"/>
        <v>0.87074124454117152</v>
      </c>
      <c r="CS19" s="54">
        <f t="shared" si="39"/>
        <v>0.48143387057394244</v>
      </c>
      <c r="CT19" s="54">
        <f t="shared" si="40"/>
        <v>0.53059705918375544</v>
      </c>
      <c r="CU19" s="54">
        <f t="shared" si="41"/>
        <v>0.59699407911673885</v>
      </c>
      <c r="CV19" s="54">
        <f t="shared" si="29"/>
        <v>3.9092382854387856E-7</v>
      </c>
      <c r="CW19" s="54">
        <f t="shared" si="35"/>
        <v>0.73803124178386081</v>
      </c>
      <c r="CX19" s="54">
        <f t="shared" si="42"/>
        <v>5.9490685070449983E-7</v>
      </c>
      <c r="CY19" s="54">
        <f t="shared" si="30"/>
        <v>8.0534260517165717E-7</v>
      </c>
      <c r="CZ19" s="57">
        <f t="shared" si="14"/>
        <v>0.91641897131041627</v>
      </c>
      <c r="DA19" s="57">
        <f t="shared" si="15"/>
        <v>0.91641897131041616</v>
      </c>
      <c r="DB19" s="81">
        <f t="shared" si="31"/>
        <v>0.80534260517165723</v>
      </c>
    </row>
    <row r="20" spans="1:106" x14ac:dyDescent="0.2">
      <c r="A20" s="85">
        <v>1997</v>
      </c>
      <c r="B20" s="99">
        <v>331969.38299999968</v>
      </c>
      <c r="C20" s="99">
        <v>109998.4479999997</v>
      </c>
      <c r="D20" s="67">
        <v>0.33135118367226007</v>
      </c>
      <c r="E20" s="99">
        <v>313159.90099999978</v>
      </c>
      <c r="F20" s="99">
        <v>108794.3769999998</v>
      </c>
      <c r="G20" s="67">
        <v>0.3474083899394253</v>
      </c>
      <c r="H20" s="99">
        <v>315072.495</v>
      </c>
      <c r="I20" s="99">
        <v>108904.2139192163</v>
      </c>
      <c r="J20" s="67">
        <v>0.34564811479090313</v>
      </c>
      <c r="K20" s="98">
        <f t="shared" si="32"/>
        <v>0</v>
      </c>
      <c r="L20" s="98">
        <f t="shared" si="33"/>
        <v>0</v>
      </c>
      <c r="M20" s="98">
        <f t="shared" si="34"/>
        <v>0</v>
      </c>
      <c r="N20" s="98"/>
      <c r="O20" s="53">
        <v>338.315</v>
      </c>
      <c r="P20" s="55">
        <f>WrightZucman!O41</f>
        <v>144.27699999999999</v>
      </c>
      <c r="Q20" s="54">
        <f t="shared" si="43"/>
        <v>0.29896268483522309</v>
      </c>
      <c r="R20" s="110">
        <f t="shared" si="44"/>
        <v>155.43307649668552</v>
      </c>
      <c r="S20" s="53"/>
      <c r="T20" s="54">
        <f t="shared" si="45"/>
        <v>0.31480239396482779</v>
      </c>
      <c r="U20" s="56">
        <f t="shared" si="46"/>
        <v>0.31480239396482779</v>
      </c>
      <c r="V20" s="53">
        <v>47.58</v>
      </c>
      <c r="W20" s="53"/>
      <c r="X20" s="56"/>
      <c r="Y20" s="54">
        <f t="shared" si="0"/>
        <v>0.32978229378209972</v>
      </c>
      <c r="Z20" s="56"/>
      <c r="AA20" s="54">
        <f t="shared" si="1"/>
        <v>0.30346566207738374</v>
      </c>
      <c r="AB20" s="54"/>
      <c r="AD20" s="55">
        <f t="shared" si="2"/>
        <v>835.16928891518467</v>
      </c>
      <c r="AE20" s="53">
        <f t="shared" si="3"/>
        <v>75.61978758150093</v>
      </c>
      <c r="AF20" s="53">
        <f t="shared" si="16"/>
        <v>759.54950133368379</v>
      </c>
      <c r="AG20" s="55">
        <f t="shared" si="17"/>
        <v>835.16928891518467</v>
      </c>
      <c r="AH20" s="53">
        <f t="shared" si="18"/>
        <v>670.70221241849913</v>
      </c>
      <c r="AI20" s="53">
        <f t="shared" si="4"/>
        <v>164.46707649668551</v>
      </c>
      <c r="AJ20" s="53"/>
      <c r="AK20" s="55">
        <f t="shared" si="19"/>
        <v>910.78907649668565</v>
      </c>
      <c r="AL20" s="53">
        <f t="shared" si="5"/>
        <v>746.32200000000012</v>
      </c>
      <c r="AM20" s="53">
        <f t="shared" si="20"/>
        <v>164.46707649668551</v>
      </c>
      <c r="AN20" s="55">
        <f t="shared" si="21"/>
        <v>910.78907649668565</v>
      </c>
      <c r="AO20" s="53">
        <f t="shared" si="22"/>
        <v>759.54950133368379</v>
      </c>
      <c r="AP20" s="53">
        <v>151.23957516300186</v>
      </c>
      <c r="AQ20" s="53">
        <f t="shared" si="6"/>
        <v>0</v>
      </c>
      <c r="AR20" s="56">
        <f>Data!AM20/Data!AK20</f>
        <v>0.18057647016288519</v>
      </c>
      <c r="AS20" s="56">
        <f>Data!AI20/Data!AG20</f>
        <v>0.19692663353356124</v>
      </c>
      <c r="AT20" s="56"/>
      <c r="AV20" s="53">
        <f>'[1]Assets(BoP)'!$D89</f>
        <v>869.7</v>
      </c>
      <c r="AW20" s="53">
        <v>24.4</v>
      </c>
      <c r="AX20" s="53">
        <f>'[1]Assets(BoP)'!$CI89</f>
        <v>0</v>
      </c>
      <c r="AY20" s="53">
        <f t="shared" si="7"/>
        <v>14.229999999999997</v>
      </c>
      <c r="AZ20" s="53">
        <f t="shared" si="23"/>
        <v>859.53000000000009</v>
      </c>
      <c r="BA20" s="53">
        <v>113.208</v>
      </c>
      <c r="BB20" s="53">
        <f t="shared" si="24"/>
        <v>746.32200000000012</v>
      </c>
      <c r="BC20" s="53">
        <f t="shared" si="28"/>
        <v>104.17399999999999</v>
      </c>
      <c r="BD20" s="53">
        <v>9.0340000000000007</v>
      </c>
      <c r="BE20" s="96">
        <f t="shared" si="8"/>
        <v>7.9800014133276809E-2</v>
      </c>
      <c r="BF20" s="53">
        <v>115.32299999999999</v>
      </c>
      <c r="BG20" s="106">
        <f t="shared" si="25"/>
        <v>155.43307649668552</v>
      </c>
      <c r="BI20" s="84">
        <f>'[1]Assets(BoP)'!$Q89</f>
        <v>48</v>
      </c>
      <c r="BK20" s="78">
        <f t="shared" si="9"/>
        <v>14.229999999999997</v>
      </c>
      <c r="BL20" s="81">
        <v>33.770000000000003</v>
      </c>
      <c r="BM20" s="78">
        <v>0</v>
      </c>
      <c r="BP20">
        <v>1997</v>
      </c>
      <c r="BQ20" s="56">
        <f>Data!AR20*WrightZucman!B41</f>
        <v>4.0587996360557842E-2</v>
      </c>
      <c r="BR20" s="67">
        <f>$BQ20*WrightZucman!C41/WrightZucman!$B41</f>
        <v>1.0166711722125608E-2</v>
      </c>
      <c r="BS20" s="73">
        <f>WrightZucman!C41*Data!AS20-BR20</f>
        <v>9.2053741802228771E-4</v>
      </c>
      <c r="BT20" s="67">
        <f>$BQ20*WrightZucman!D41/WrightZucman!$B41</f>
        <v>9.8412968448939632E-3</v>
      </c>
      <c r="BU20" s="67">
        <f>$BQ20*WrightZucman!E41/WrightZucman!$B41</f>
        <v>4.1953487249249089E-3</v>
      </c>
      <c r="BV20" s="67">
        <f>$BQ20*WrightZucman!F41/WrightZucman!$B41</f>
        <v>1.0030287792824649E-2</v>
      </c>
      <c r="BW20" s="67">
        <f>$BQ20*WrightZucman!G41/WrightZucman!$B41</f>
        <v>6.3543512757887133E-3</v>
      </c>
      <c r="BX20" s="71">
        <f t="shared" si="10"/>
        <v>0</v>
      </c>
      <c r="BY20" s="71"/>
      <c r="BZ20" s="67">
        <f>Data!AR20*WrightZucman!B41</f>
        <v>4.0587996360557842E-2</v>
      </c>
      <c r="CA20" s="67">
        <f>Data!D20*WrightZucman!B41</f>
        <v>7.4477481062870193E-2</v>
      </c>
      <c r="CB20" s="73">
        <f>Data!Q20*WrightZucman!B41</f>
        <v>6.7197549897221667E-2</v>
      </c>
      <c r="CC20" s="73">
        <f>WrightZucman!C41*Data!$Q20</f>
        <v>1.6832023738478877E-2</v>
      </c>
      <c r="CD20" s="73">
        <f>WrightZucman!D41*Data!$Q20</f>
        <v>1.6293266361647105E-2</v>
      </c>
      <c r="CE20" s="73">
        <f>WrightZucman!E41*Data!$Q20</f>
        <v>6.9458258736158074E-3</v>
      </c>
      <c r="CF20" s="73">
        <f>WrightZucman!F41*Data!$Q20</f>
        <v>1.6606160068960943E-2</v>
      </c>
      <c r="CG20" s="73">
        <f>WrightZucman!G41*Data!$Q20</f>
        <v>1.0520273854518931E-2</v>
      </c>
      <c r="CH20" s="71">
        <f t="shared" si="37"/>
        <v>0</v>
      </c>
      <c r="CI20" s="71"/>
      <c r="CJ20" s="53">
        <f t="shared" si="26"/>
        <v>216.4</v>
      </c>
      <c r="CK20" s="53">
        <v>182.3</v>
      </c>
      <c r="CL20" s="53">
        <v>34.1</v>
      </c>
      <c r="CM20" s="53">
        <f t="shared" si="11"/>
        <v>51.259076496685523</v>
      </c>
      <c r="CN20" s="56">
        <f t="shared" si="12"/>
        <v>0.32048481673021334</v>
      </c>
      <c r="CO20" s="56">
        <f>'[1]Assets(BoP)'!$BN89</f>
        <v>0.35102871463526641</v>
      </c>
      <c r="CQ20" s="54">
        <f t="shared" si="38"/>
        <v>0.57783733957321015</v>
      </c>
      <c r="CR20" s="54">
        <f t="shared" si="13"/>
        <v>0.87723940300542513</v>
      </c>
      <c r="CS20" s="54">
        <f t="shared" si="39"/>
        <v>0.45330969742282812</v>
      </c>
      <c r="CT20" s="54">
        <f t="shared" si="40"/>
        <v>0.50441909052314415</v>
      </c>
      <c r="CU20" s="54">
        <f t="shared" si="41"/>
        <v>0.57783733957321015</v>
      </c>
      <c r="CV20" s="54">
        <f t="shared" si="29"/>
        <v>3.7496577658736521E-7</v>
      </c>
      <c r="CW20" s="54">
        <f t="shared" si="35"/>
        <v>0.69994353487766003</v>
      </c>
      <c r="CX20" s="54">
        <f t="shared" si="42"/>
        <v>6.0406876431727816E-7</v>
      </c>
      <c r="CY20" s="54">
        <f t="shared" si="30"/>
        <v>7.5406597725209018E-7</v>
      </c>
      <c r="CZ20" s="57">
        <f t="shared" si="14"/>
        <v>0.92822585289995585</v>
      </c>
      <c r="DA20" s="57">
        <f t="shared" si="15"/>
        <v>0.92822585289995585</v>
      </c>
      <c r="DB20" s="81">
        <f t="shared" si="31"/>
        <v>0.75406597725209012</v>
      </c>
    </row>
    <row r="21" spans="1:106" x14ac:dyDescent="0.2">
      <c r="A21" s="85">
        <v>1998</v>
      </c>
      <c r="B21" s="99">
        <v>311195.32900000078</v>
      </c>
      <c r="C21" s="99">
        <v>90601.351999999824</v>
      </c>
      <c r="D21" s="67">
        <v>0.29113981977537851</v>
      </c>
      <c r="E21" s="99">
        <v>277527.31300000031</v>
      </c>
      <c r="F21" s="99">
        <v>89122.298999999708</v>
      </c>
      <c r="G21" s="67">
        <v>0.32112983056193689</v>
      </c>
      <c r="H21" s="99">
        <v>281837.76100000052</v>
      </c>
      <c r="I21" s="99">
        <v>88377.677471558767</v>
      </c>
      <c r="J21" s="67">
        <v>0.31357642481256659</v>
      </c>
      <c r="K21" s="98">
        <f t="shared" si="32"/>
        <v>0</v>
      </c>
      <c r="L21" s="98">
        <f t="shared" si="33"/>
        <v>0</v>
      </c>
      <c r="M21" s="98">
        <f t="shared" si="34"/>
        <v>0</v>
      </c>
      <c r="N21" s="98"/>
      <c r="O21" s="53">
        <f>[2]A!$D$16/1000</f>
        <v>353.61799999999999</v>
      </c>
      <c r="P21" s="55">
        <f>WrightZucman!O42</f>
        <v>124.176</v>
      </c>
      <c r="Q21" s="54">
        <f t="shared" si="43"/>
        <v>0.25989443149139591</v>
      </c>
      <c r="R21" s="110">
        <f t="shared" si="44"/>
        <v>132.52714777618365</v>
      </c>
      <c r="S21" s="53"/>
      <c r="T21" s="54">
        <f t="shared" si="45"/>
        <v>0.27260818786819985</v>
      </c>
      <c r="U21" s="56">
        <f t="shared" si="46"/>
        <v>0.27260818786819985</v>
      </c>
      <c r="V21" s="53">
        <v>40.536000000000001</v>
      </c>
      <c r="W21" s="53"/>
      <c r="X21" s="56"/>
      <c r="Y21" s="54">
        <f t="shared" si="0"/>
        <v>0.32643989176652494</v>
      </c>
      <c r="Z21" s="56"/>
      <c r="AA21" s="54">
        <f t="shared" si="1"/>
        <v>0.28878308248886425</v>
      </c>
      <c r="AB21" s="54"/>
      <c r="AD21" s="55">
        <f t="shared" si="2"/>
        <v>757.43911289187236</v>
      </c>
      <c r="AE21" s="53">
        <f t="shared" si="3"/>
        <v>84.468034884311308</v>
      </c>
      <c r="AF21" s="53">
        <f t="shared" si="16"/>
        <v>672.971078007561</v>
      </c>
      <c r="AG21" s="55">
        <f t="shared" si="17"/>
        <v>757.43911289187236</v>
      </c>
      <c r="AH21" s="53">
        <f t="shared" si="18"/>
        <v>613.27196511568877</v>
      </c>
      <c r="AI21" s="53">
        <f t="shared" si="4"/>
        <v>144.16714777618364</v>
      </c>
      <c r="AJ21" s="53"/>
      <c r="AK21" s="55">
        <f t="shared" si="19"/>
        <v>841.90714777618382</v>
      </c>
      <c r="AL21" s="53">
        <f t="shared" si="5"/>
        <v>697.74000000000012</v>
      </c>
      <c r="AM21" s="53">
        <f t="shared" si="20"/>
        <v>144.16714777618364</v>
      </c>
      <c r="AN21" s="55">
        <f t="shared" si="21"/>
        <v>841.90714777618382</v>
      </c>
      <c r="AO21" s="53">
        <f t="shared" si="22"/>
        <v>672.97107800756123</v>
      </c>
      <c r="AP21" s="53">
        <v>168.93606976862262</v>
      </c>
      <c r="AQ21" s="53">
        <f t="shared" si="6"/>
        <v>0</v>
      </c>
      <c r="AR21" s="56">
        <f>Data!AM21/Data!AK21</f>
        <v>0.17123877396336068</v>
      </c>
      <c r="AS21" s="56">
        <f>Data!AI21/Data!AG21</f>
        <v>0.1903349659694219</v>
      </c>
      <c r="AT21" s="56"/>
      <c r="AV21" s="53">
        <f>'[1]Assets(BoP)'!$D90</f>
        <v>808.5</v>
      </c>
      <c r="AW21" s="53">
        <v>25.8</v>
      </c>
      <c r="AX21" s="53">
        <f>'[1]Assets(BoP)'!$CI90</f>
        <v>0</v>
      </c>
      <c r="AY21" s="53">
        <f t="shared" si="7"/>
        <v>15.945</v>
      </c>
      <c r="AZ21" s="53">
        <f t="shared" si="23"/>
        <v>798.6450000000001</v>
      </c>
      <c r="BA21" s="53">
        <v>100.905</v>
      </c>
      <c r="BB21" s="53">
        <f t="shared" si="24"/>
        <v>697.74000000000012</v>
      </c>
      <c r="BC21" s="53">
        <f t="shared" si="28"/>
        <v>89.265000000000001</v>
      </c>
      <c r="BD21" s="53">
        <v>11.64</v>
      </c>
      <c r="BE21" s="96">
        <f t="shared" si="8"/>
        <v>0.11535602794707894</v>
      </c>
      <c r="BF21" s="53">
        <v>103.96299999999999</v>
      </c>
      <c r="BG21" s="106">
        <f t="shared" si="25"/>
        <v>132.52714777618365</v>
      </c>
      <c r="BI21" s="84">
        <f>'[1]Assets(BoP)'!$Q90</f>
        <v>44</v>
      </c>
      <c r="BK21" s="78">
        <f>BI21-BL21</f>
        <v>15.945</v>
      </c>
      <c r="BL21" s="81">
        <v>28.055</v>
      </c>
      <c r="BM21" s="78">
        <v>0</v>
      </c>
      <c r="BP21">
        <v>1998</v>
      </c>
      <c r="BQ21" s="56">
        <f>Data!AR21*WrightZucman!B42</f>
        <v>4.5100213426682377E-2</v>
      </c>
      <c r="BR21" s="67">
        <f>$BQ21*WrightZucman!C42/WrightZucman!$B42</f>
        <v>1.49111330922708E-2</v>
      </c>
      <c r="BS21" s="73">
        <f>WrightZucman!C42*Data!AS21-BR21</f>
        <v>1.6628585568993996E-3</v>
      </c>
      <c r="BT21" s="67">
        <f>$BQ21*WrightZucman!D42/WrightZucman!$B42</f>
        <v>1.0211499172132181E-2</v>
      </c>
      <c r="BU21" s="67">
        <f>$BQ21*WrightZucman!E42/WrightZucman!$B42</f>
        <v>4.7410039370412473E-3</v>
      </c>
      <c r="BV21" s="67">
        <f>$BQ21*WrightZucman!F42/WrightZucman!$B42</f>
        <v>1.0982360487084496E-2</v>
      </c>
      <c r="BW21" s="67">
        <f>$BQ21*WrightZucman!G42/WrightZucman!$B42</f>
        <v>4.254216738153651E-3</v>
      </c>
      <c r="BX21" s="71">
        <f t="shared" si="10"/>
        <v>0</v>
      </c>
      <c r="BY21" s="71"/>
      <c r="BZ21" s="67">
        <f>Data!AR21*WrightZucman!B42</f>
        <v>4.5100213426682377E-2</v>
      </c>
      <c r="CA21" s="67">
        <f>Data!D21*WrightZucman!B42</f>
        <v>7.6679292341142846E-2</v>
      </c>
      <c r="CB21" s="73">
        <f>Data!Q21*WrightZucman!B42</f>
        <v>6.8450001465066551E-2</v>
      </c>
      <c r="CC21" s="73">
        <f>WrightZucman!C42*Data!$Q21</f>
        <v>2.2631092060595152E-2</v>
      </c>
      <c r="CD21" s="73">
        <f>WrightZucman!D42*Data!$Q21</f>
        <v>1.5498310987580423E-2</v>
      </c>
      <c r="CE21" s="73">
        <f>WrightZucman!E42*Data!$Q21</f>
        <v>7.1955696387983117E-3</v>
      </c>
      <c r="CF21" s="73">
        <f>WrightZucman!F42*Data!$Q21</f>
        <v>1.6668271263347804E-2</v>
      </c>
      <c r="CG21" s="73">
        <f>WrightZucman!G42*Data!$Q21</f>
        <v>6.4567575147448496E-3</v>
      </c>
      <c r="CH21" s="71">
        <f t="shared" si="37"/>
        <v>1.214306433183765E-17</v>
      </c>
      <c r="CI21" s="71"/>
      <c r="CJ21" s="53">
        <f t="shared" si="26"/>
        <v>212.6</v>
      </c>
      <c r="CK21" s="53">
        <v>177.7</v>
      </c>
      <c r="CL21" s="53">
        <v>34.9</v>
      </c>
      <c r="CM21" s="53">
        <f t="shared" si="11"/>
        <v>43.262147776183646</v>
      </c>
      <c r="CN21" s="56">
        <f t="shared" si="12"/>
        <v>0.33779896419569905</v>
      </c>
      <c r="CO21" s="56">
        <f>'[1]Assets(BoP)'!$BN90</f>
        <v>0.38725440190099281</v>
      </c>
      <c r="CQ21" s="54">
        <f t="shared" si="38"/>
        <v>0.6308018583510977</v>
      </c>
      <c r="CR21" s="54">
        <f t="shared" si="13"/>
        <v>0.86133354176348509</v>
      </c>
      <c r="CS21" s="54">
        <f t="shared" si="39"/>
        <v>0.50680482701292739</v>
      </c>
      <c r="CT21" s="54">
        <f t="shared" si="40"/>
        <v>0.57660878063012844</v>
      </c>
      <c r="CU21" s="54">
        <f t="shared" si="41"/>
        <v>0.6308018583510977</v>
      </c>
      <c r="CV21" s="54">
        <f t="shared" si="29"/>
        <v>3.6640214147433197E-7</v>
      </c>
      <c r="CW21" s="54">
        <f t="shared" si="35"/>
        <v>0.67248334017202638</v>
      </c>
      <c r="CX21" s="54">
        <f t="shared" si="42"/>
        <v>5.3279248793896415E-7</v>
      </c>
      <c r="CY21" s="54">
        <f t="shared" si="30"/>
        <v>7.1770953324313635E-7</v>
      </c>
      <c r="CZ21" s="57">
        <f t="shared" si="14"/>
        <v>0.93698538060830106</v>
      </c>
      <c r="DA21" s="57">
        <f t="shared" si="15"/>
        <v>0.93698538060830117</v>
      </c>
      <c r="DB21" s="81">
        <f t="shared" si="31"/>
        <v>0.71770953324313647</v>
      </c>
    </row>
    <row r="22" spans="1:106" x14ac:dyDescent="0.2">
      <c r="A22" s="85">
        <v>1999</v>
      </c>
      <c r="B22" s="99">
        <v>384134.60000000033</v>
      </c>
      <c r="C22" s="99">
        <v>122131.04399999999</v>
      </c>
      <c r="D22" s="67">
        <v>0.31793814980478169</v>
      </c>
      <c r="E22" s="99">
        <v>362942.28699999989</v>
      </c>
      <c r="F22" s="99">
        <v>119345.045</v>
      </c>
      <c r="G22" s="67">
        <v>0.32882650844154748</v>
      </c>
      <c r="H22" s="99">
        <v>363307.26199999987</v>
      </c>
      <c r="I22" s="99">
        <v>119346.7293162751</v>
      </c>
      <c r="J22" s="67">
        <v>0.32850080854226132</v>
      </c>
      <c r="K22" s="98">
        <f t="shared" si="32"/>
        <v>0</v>
      </c>
      <c r="L22" s="98">
        <f t="shared" si="33"/>
        <v>0</v>
      </c>
      <c r="M22" s="98">
        <f t="shared" si="34"/>
        <v>0</v>
      </c>
      <c r="N22" s="98"/>
      <c r="O22" s="53">
        <f>[3]TablePage!$D$6/1000</f>
        <v>408.63799999999998</v>
      </c>
      <c r="P22" s="55">
        <f>WrightZucman!O43</f>
        <v>141.95600000000002</v>
      </c>
      <c r="Q22" s="54">
        <f t="shared" si="43"/>
        <v>0.25782336894335939</v>
      </c>
      <c r="R22" s="110">
        <f t="shared" si="44"/>
        <v>162.98684410866153</v>
      </c>
      <c r="S22" s="53"/>
      <c r="T22" s="54">
        <f t="shared" si="45"/>
        <v>0.28512904186802451</v>
      </c>
      <c r="U22" s="56">
        <f t="shared" si="46"/>
        <v>0.28512904186802451</v>
      </c>
      <c r="V22" s="53">
        <v>45.067999999999998</v>
      </c>
      <c r="W22" s="53">
        <f>166.191</f>
        <v>166.191</v>
      </c>
      <c r="X22" s="56">
        <f>W22/O22</f>
        <v>0.4066949231349018</v>
      </c>
      <c r="Y22" s="54">
        <f t="shared" si="0"/>
        <v>0.31747865535799819</v>
      </c>
      <c r="Z22" s="56">
        <f>(V22+W22)/(O22+P22)</f>
        <v>0.38369288441210764</v>
      </c>
      <c r="AA22" s="54">
        <f t="shared" si="1"/>
        <v>0.2803155851998923</v>
      </c>
      <c r="AB22" s="54">
        <f>(V22+W22)/(P22/(1-BE22)+O22)</f>
        <v>0.37101129322459664</v>
      </c>
      <c r="AD22" s="55">
        <f t="shared" si="2"/>
        <v>753.68679500168184</v>
      </c>
      <c r="AE22" s="53">
        <f t="shared" si="3"/>
        <v>93.093049106979606</v>
      </c>
      <c r="AF22" s="53">
        <f t="shared" si="16"/>
        <v>660.59374589470224</v>
      </c>
      <c r="AG22" s="55">
        <f t="shared" si="17"/>
        <v>753.68679500168184</v>
      </c>
      <c r="AH22" s="53">
        <f t="shared" si="18"/>
        <v>575.95195089302035</v>
      </c>
      <c r="AI22" s="53">
        <f t="shared" si="4"/>
        <v>177.73484410866152</v>
      </c>
      <c r="AJ22" s="53"/>
      <c r="AK22" s="55">
        <f t="shared" si="19"/>
        <v>846.77984410866145</v>
      </c>
      <c r="AL22" s="53">
        <f t="shared" si="5"/>
        <v>669.04499999999996</v>
      </c>
      <c r="AM22" s="53">
        <f t="shared" si="20"/>
        <v>177.73484410866152</v>
      </c>
      <c r="AN22" s="55">
        <f t="shared" si="21"/>
        <v>846.77984410866145</v>
      </c>
      <c r="AO22" s="53">
        <f t="shared" si="22"/>
        <v>660.59374589470224</v>
      </c>
      <c r="AP22" s="53">
        <v>186.18609821395921</v>
      </c>
      <c r="AQ22" s="53">
        <f t="shared" si="6"/>
        <v>0</v>
      </c>
      <c r="AR22" s="56">
        <f>Data!AM22/Data!AK22</f>
        <v>0.20989498669013434</v>
      </c>
      <c r="AS22" s="56">
        <f>Data!AI22/Data!AG22</f>
        <v>0.23582056271566348</v>
      </c>
      <c r="AT22" s="56"/>
      <c r="AV22" s="53">
        <f>'[1]Assets(BoP)'!$D91</f>
        <v>834.9</v>
      </c>
      <c r="AW22" s="53">
        <v>26.8</v>
      </c>
      <c r="AX22" s="53">
        <f>'[1]Assets(BoP)'!$CI91</f>
        <v>30.123000000000001</v>
      </c>
      <c r="AY22" s="53">
        <f t="shared" si="7"/>
        <v>17.058</v>
      </c>
      <c r="AZ22" s="53">
        <f t="shared" si="23"/>
        <v>795.03499999999997</v>
      </c>
      <c r="BA22" s="53">
        <v>125.99</v>
      </c>
      <c r="BB22" s="53">
        <f t="shared" si="24"/>
        <v>669.04499999999996</v>
      </c>
      <c r="BC22" s="53">
        <f t="shared" si="28"/>
        <v>111.24199999999999</v>
      </c>
      <c r="BD22" s="53">
        <v>14.747999999999999</v>
      </c>
      <c r="BE22" s="96">
        <f t="shared" si="8"/>
        <v>0.11705690927851417</v>
      </c>
      <c r="BF22" s="53">
        <v>130.512</v>
      </c>
      <c r="BG22" s="106">
        <f t="shared" si="25"/>
        <v>162.98684410866153</v>
      </c>
      <c r="BI22" s="84">
        <f>'[1]Assets(BoP)'!$Q91</f>
        <v>55</v>
      </c>
      <c r="BK22" s="78">
        <v>17.058</v>
      </c>
      <c r="BL22" s="81">
        <v>37.695</v>
      </c>
      <c r="BM22" s="78">
        <f>BI22-BK22-BL22</f>
        <v>0.24699999999999989</v>
      </c>
      <c r="BP22">
        <v>1999</v>
      </c>
      <c r="BQ22" s="56">
        <f>Data!AR22*WrightZucman!B43</f>
        <v>5.0516091044185807E-2</v>
      </c>
      <c r="BR22" s="67">
        <f>$BQ22*WrightZucman!C43/WrightZucman!$B43</f>
        <v>1.6668166086378066E-2</v>
      </c>
      <c r="BS22" s="73">
        <f>WrightZucman!C43*Data!AS22-BR22</f>
        <v>2.0588000404054077E-3</v>
      </c>
      <c r="BT22" s="67">
        <f>$BQ22*WrightZucman!D43/WrightZucman!$B43</f>
        <v>9.5339603410774191E-3</v>
      </c>
      <c r="BU22" s="67">
        <f>$BQ22*WrightZucman!E43/WrightZucman!$B43</f>
        <v>5.254915485761345E-3</v>
      </c>
      <c r="BV22" s="67">
        <f>$BQ22*WrightZucman!F43/WrightZucman!$B43</f>
        <v>1.1833170690081047E-2</v>
      </c>
      <c r="BW22" s="67">
        <f>$BQ22*WrightZucman!G43/WrightZucman!$B43</f>
        <v>7.2258784408879275E-3</v>
      </c>
      <c r="BX22" s="71">
        <f t="shared" si="10"/>
        <v>0</v>
      </c>
      <c r="BY22" s="71"/>
      <c r="BZ22" s="67">
        <f>Data!AR22*WrightZucman!B43</f>
        <v>5.0516091044185807E-2</v>
      </c>
      <c r="CA22" s="67">
        <f>Data!D22*WrightZucman!B43</f>
        <v>7.6519181211645623E-2</v>
      </c>
      <c r="CB22" s="73">
        <f>Data!Q22*WrightZucman!B43</f>
        <v>6.2051166558298863E-2</v>
      </c>
      <c r="CC22" s="73">
        <f>WrightZucman!C43*Data!$Q22</f>
        <v>2.0474251444803252E-2</v>
      </c>
      <c r="CD22" s="73">
        <f>WrightZucman!D43*Data!$Q22</f>
        <v>1.171098849606062E-2</v>
      </c>
      <c r="CE22" s="73">
        <f>WrightZucman!E43*Data!$Q22</f>
        <v>6.4548469471152978E-3</v>
      </c>
      <c r="CF22" s="73">
        <f>WrightZucman!F43*Data!$Q22</f>
        <v>1.4535211062961094E-2</v>
      </c>
      <c r="CG22" s="73">
        <f>WrightZucman!G43*Data!$Q22</f>
        <v>8.8758686073585995E-3</v>
      </c>
      <c r="CH22" s="71">
        <f t="shared" si="37"/>
        <v>0</v>
      </c>
      <c r="CI22" s="71"/>
      <c r="CJ22" s="53">
        <f t="shared" si="26"/>
        <v>223.39999999999998</v>
      </c>
      <c r="CK22" s="53">
        <v>187.6</v>
      </c>
      <c r="CL22" s="53">
        <v>35.799999999999997</v>
      </c>
      <c r="CM22" s="53">
        <f t="shared" si="11"/>
        <v>51.744844108661539</v>
      </c>
      <c r="CN22" s="56">
        <f t="shared" si="12"/>
        <v>0.36506523125172641</v>
      </c>
      <c r="CO22" s="56">
        <f>'[1]Assets(BoP)'!$BN91</f>
        <v>0.39528367765750538</v>
      </c>
      <c r="CQ22" s="54">
        <f t="shared" si="38"/>
        <v>0.73053422675233604</v>
      </c>
      <c r="CR22" s="54">
        <f t="shared" si="13"/>
        <v>0.79869538644438542</v>
      </c>
      <c r="CS22" s="54">
        <f t="shared" si="39"/>
        <v>0.61077804930908985</v>
      </c>
      <c r="CT22" s="54">
        <f t="shared" si="40"/>
        <v>0.7095001577239245</v>
      </c>
      <c r="CU22" s="54">
        <f t="shared" si="41"/>
        <v>0.73053422675233604</v>
      </c>
      <c r="CV22" s="54">
        <f t="shared" si="29"/>
        <v>4.8155585238718418E-7</v>
      </c>
      <c r="CW22" s="54">
        <f t="shared" si="35"/>
        <v>0.73223728978048053</v>
      </c>
      <c r="CX22" s="54">
        <f t="shared" si="42"/>
        <v>5.9611989584913768E-7</v>
      </c>
      <c r="CY22" s="54">
        <f t="shared" si="30"/>
        <v>8.4071856772521051E-7</v>
      </c>
      <c r="CZ22" s="57">
        <f t="shared" si="14"/>
        <v>0.87096600204958574</v>
      </c>
      <c r="DA22" s="57">
        <f t="shared" si="15"/>
        <v>0.87096600204958585</v>
      </c>
      <c r="DB22" s="81">
        <f t="shared" si="31"/>
        <v>0.84071856772521047</v>
      </c>
    </row>
    <row r="23" spans="1:106" x14ac:dyDescent="0.2">
      <c r="A23" s="85">
        <v>2000</v>
      </c>
      <c r="B23" s="99">
        <v>453512.43000000028</v>
      </c>
      <c r="C23" s="99">
        <v>155955.7630000003</v>
      </c>
      <c r="D23" s="67">
        <v>0.34388420842180711</v>
      </c>
      <c r="E23" s="99">
        <v>405764.15000000037</v>
      </c>
      <c r="F23" s="99">
        <v>149293.3780000002</v>
      </c>
      <c r="G23" s="67">
        <v>0.36793141533080259</v>
      </c>
      <c r="H23" s="99">
        <v>419018.45700000058</v>
      </c>
      <c r="I23" s="99">
        <v>151511.88618751449</v>
      </c>
      <c r="J23" s="67">
        <v>0.36158761900914138</v>
      </c>
      <c r="K23" s="98">
        <f t="shared" si="32"/>
        <v>0</v>
      </c>
      <c r="L23" s="98">
        <f t="shared" si="33"/>
        <v>0</v>
      </c>
      <c r="M23" s="98">
        <f t="shared" si="34"/>
        <v>0</v>
      </c>
      <c r="N23" s="98"/>
      <c r="O23" s="53">
        <f>[4]TablePage!$D$6/1000</f>
        <v>445.61599999999999</v>
      </c>
      <c r="P23" s="55">
        <f>WrightZucman!O44</f>
        <v>172.15499999999997</v>
      </c>
      <c r="Q23" s="54">
        <f t="shared" si="43"/>
        <v>0.27867122283176127</v>
      </c>
      <c r="R23" s="110">
        <f t="shared" si="44"/>
        <v>199.01083677483669</v>
      </c>
      <c r="S23" s="53"/>
      <c r="T23" s="54">
        <f t="shared" si="45"/>
        <v>0.30872254368204299</v>
      </c>
      <c r="U23" s="56">
        <f t="shared" si="46"/>
        <v>0.30872254368204299</v>
      </c>
      <c r="V23" s="53">
        <v>59.801000000000002</v>
      </c>
      <c r="W23" s="53"/>
      <c r="X23" s="56"/>
      <c r="Y23" s="54">
        <f t="shared" si="0"/>
        <v>0.34736719816444489</v>
      </c>
      <c r="Z23" s="56"/>
      <c r="AA23" s="54">
        <f t="shared" si="1"/>
        <v>0.31150419835671367</v>
      </c>
      <c r="AB23" s="54"/>
      <c r="AD23" s="55">
        <f t="shared" si="2"/>
        <v>716.236893029253</v>
      </c>
      <c r="AE23" s="53">
        <f t="shared" si="3"/>
        <v>94.264943745583693</v>
      </c>
      <c r="AF23" s="53">
        <f t="shared" si="16"/>
        <v>621.97194928366935</v>
      </c>
      <c r="AG23" s="55">
        <f t="shared" si="17"/>
        <v>716.236893029253</v>
      </c>
      <c r="AH23" s="53">
        <f t="shared" si="18"/>
        <v>502.2730562544163</v>
      </c>
      <c r="AI23" s="53">
        <f t="shared" si="4"/>
        <v>213.96383677483669</v>
      </c>
      <c r="AJ23" s="53"/>
      <c r="AK23" s="55">
        <f t="shared" si="19"/>
        <v>810.50183677483665</v>
      </c>
      <c r="AL23" s="53">
        <f t="shared" si="5"/>
        <v>596.53800000000001</v>
      </c>
      <c r="AM23" s="53">
        <f t="shared" si="20"/>
        <v>213.96383677483669</v>
      </c>
      <c r="AN23" s="55">
        <f t="shared" si="21"/>
        <v>810.50183677483665</v>
      </c>
      <c r="AO23" s="53">
        <f t="shared" si="22"/>
        <v>621.97194928366923</v>
      </c>
      <c r="AP23" s="53">
        <v>188.52988749116739</v>
      </c>
      <c r="AQ23" s="53">
        <f t="shared" si="6"/>
        <v>0</v>
      </c>
      <c r="AR23" s="56">
        <f>Data!AM23/Data!AK23</f>
        <v>0.26398932990237928</v>
      </c>
      <c r="AS23" s="56">
        <f>Data!AI23/Data!AG23</f>
        <v>0.29873333649415607</v>
      </c>
      <c r="AT23" s="56"/>
      <c r="AV23" s="53">
        <f>'[1]Assets(BoP)'!$D92</f>
        <v>786.6</v>
      </c>
      <c r="AW23" s="53">
        <v>31.4</v>
      </c>
      <c r="AX23" s="53">
        <f>'[1]Assets(BoP)'!$CI92</f>
        <v>33.472999999999999</v>
      </c>
      <c r="AY23" s="53">
        <f t="shared" si="7"/>
        <v>19.645</v>
      </c>
      <c r="AZ23" s="53">
        <f t="shared" si="23"/>
        <v>741.37200000000007</v>
      </c>
      <c r="BA23" s="53">
        <v>144.834</v>
      </c>
      <c r="BB23" s="53">
        <f t="shared" si="24"/>
        <v>596.53800000000001</v>
      </c>
      <c r="BC23" s="53">
        <f t="shared" si="28"/>
        <v>129.881</v>
      </c>
      <c r="BD23" s="53">
        <v>14.952999999999999</v>
      </c>
      <c r="BE23" s="96">
        <f t="shared" si="8"/>
        <v>0.10324233260146097</v>
      </c>
      <c r="BF23" s="53">
        <v>149.839</v>
      </c>
      <c r="BG23" s="106">
        <f t="shared" si="25"/>
        <v>199.01083677483669</v>
      </c>
      <c r="BI23" s="84">
        <f>'[1]Assets(BoP)'!$Q92</f>
        <v>55.9</v>
      </c>
      <c r="BK23" s="78">
        <v>19.645</v>
      </c>
      <c r="BL23" s="81">
        <v>36.070999999999998</v>
      </c>
      <c r="BM23" s="78">
        <f t="shared" ref="BM23:BM43" si="47">BI23-BK23-BL23</f>
        <v>0.1839999999999975</v>
      </c>
      <c r="BP23">
        <v>2000</v>
      </c>
      <c r="BQ23" s="56">
        <f>Data!AR23*WrightZucman!B44</f>
        <v>6.383556570826375E-2</v>
      </c>
      <c r="BR23" s="67">
        <f>$BQ23*WrightZucman!C44/WrightZucman!$B44</f>
        <v>1.9140395665775016E-2</v>
      </c>
      <c r="BS23" s="73">
        <f>WrightZucman!C44*Data!AS23-BR23</f>
        <v>2.519094364256385E-3</v>
      </c>
      <c r="BT23" s="67">
        <f>$BQ23*WrightZucman!D44/WrightZucman!$B44</f>
        <v>1.1582070859125037E-2</v>
      </c>
      <c r="BU23" s="67">
        <f>$BQ23*WrightZucman!E44/WrightZucman!$B44</f>
        <v>5.7335314368156375E-3</v>
      </c>
      <c r="BV23" s="67">
        <f>$BQ23*WrightZucman!F44/WrightZucman!$B44</f>
        <v>1.4492539612020483E-2</v>
      </c>
      <c r="BW23" s="67">
        <f>$BQ23*WrightZucman!G44/WrightZucman!$B44</f>
        <v>1.2887028134527578E-2</v>
      </c>
      <c r="BX23" s="71">
        <f t="shared" si="10"/>
        <v>0</v>
      </c>
      <c r="BY23" s="71"/>
      <c r="BZ23" s="67">
        <f>Data!AR23*WrightZucman!B44</f>
        <v>6.383556570826375E-2</v>
      </c>
      <c r="CA23" s="67">
        <f>Data!D23*WrightZucman!B44</f>
        <v>8.3155038845176776E-2</v>
      </c>
      <c r="CB23" s="73">
        <f>Data!Q23*WrightZucman!B44</f>
        <v>6.7385811247209729E-2</v>
      </c>
      <c r="CC23" s="73">
        <f>WrightZucman!C44*Data!$Q23</f>
        <v>2.0204897931434138E-2</v>
      </c>
      <c r="CD23" s="73">
        <f>WrightZucman!D44*Data!$Q23</f>
        <v>1.2226213273203177E-2</v>
      </c>
      <c r="CE23" s="73">
        <f>WrightZucman!E44*Data!$Q23</f>
        <v>6.0524045317763373E-3</v>
      </c>
      <c r="CF23" s="73">
        <f>WrightZucman!F44*Data!$Q23</f>
        <v>1.5298549138758536E-2</v>
      </c>
      <c r="CG23" s="73">
        <f>WrightZucman!G44*Data!$Q23</f>
        <v>1.3603746372037534E-2</v>
      </c>
      <c r="CH23" s="71">
        <f t="shared" si="37"/>
        <v>0</v>
      </c>
      <c r="CI23" s="71"/>
      <c r="CJ23" s="53">
        <f t="shared" si="26"/>
        <v>229.3</v>
      </c>
      <c r="CK23" s="53">
        <v>194.1</v>
      </c>
      <c r="CL23" s="53">
        <v>35.200000000000003</v>
      </c>
      <c r="CM23" s="53">
        <f t="shared" si="11"/>
        <v>69.12983677483669</v>
      </c>
      <c r="CN23" s="56">
        <f t="shared" si="12"/>
        <v>0.41666359228251598</v>
      </c>
      <c r="CO23" s="56">
        <f>'[1]Assets(BoP)'!$BN92</f>
        <v>0.45339093118835799</v>
      </c>
      <c r="CQ23" s="54">
        <f t="shared" si="38"/>
        <v>0.86252328805236311</v>
      </c>
      <c r="CR23" s="54">
        <f t="shared" si="13"/>
        <v>0.80459858355020086</v>
      </c>
      <c r="CS23" s="54">
        <f t="shared" si="39"/>
        <v>0.74700354378094935</v>
      </c>
      <c r="CT23" s="54">
        <f t="shared" si="40"/>
        <v>0.88719869491522585</v>
      </c>
      <c r="CU23" s="54">
        <f t="shared" si="41"/>
        <v>0.86252328805236311</v>
      </c>
      <c r="CV23" s="54">
        <f t="shared" si="29"/>
        <v>5.6652226930654333E-7</v>
      </c>
      <c r="CW23" s="54">
        <f t="shared" si="35"/>
        <v>0.75017712813756243</v>
      </c>
      <c r="CX23" s="54">
        <f t="shared" si="42"/>
        <v>5.7554210800330375E-7</v>
      </c>
      <c r="CY23" s="54">
        <f t="shared" si="30"/>
        <v>8.6720326450001574E-7</v>
      </c>
      <c r="CZ23" s="57">
        <f t="shared" si="14"/>
        <v>0.86505339503083567</v>
      </c>
      <c r="DA23" s="57">
        <f t="shared" si="15"/>
        <v>0.86505339503083567</v>
      </c>
      <c r="DB23" s="81">
        <f t="shared" si="31"/>
        <v>0.86720326450001572</v>
      </c>
    </row>
    <row r="24" spans="1:106" x14ac:dyDescent="0.2">
      <c r="A24" s="85">
        <v>2001</v>
      </c>
      <c r="B24" s="99">
        <v>334652.66900000023</v>
      </c>
      <c r="C24" s="99">
        <v>129048.235</v>
      </c>
      <c r="D24" s="67">
        <v>0.38561842457619833</v>
      </c>
      <c r="E24" s="99">
        <v>145674.40699999951</v>
      </c>
      <c r="F24" s="99">
        <v>122113.202</v>
      </c>
      <c r="G24" s="67">
        <v>0.8382611916175533</v>
      </c>
      <c r="H24" s="99">
        <v>269551.5440000004</v>
      </c>
      <c r="I24" s="99">
        <v>127027.4185483098</v>
      </c>
      <c r="J24" s="67">
        <v>0.4712546500876641</v>
      </c>
      <c r="K24" s="98">
        <f t="shared" si="32"/>
        <v>0</v>
      </c>
      <c r="L24" s="98">
        <f t="shared" si="33"/>
        <v>0</v>
      </c>
      <c r="M24" s="98">
        <f t="shared" si="34"/>
        <v>0</v>
      </c>
      <c r="N24" s="98"/>
      <c r="O24" s="53">
        <f>[5]TablePage!$D$6/1000</f>
        <v>271.91800000000001</v>
      </c>
      <c r="P24" s="55">
        <f>WrightZucman!O45</f>
        <v>141.19800000000001</v>
      </c>
      <c r="Q24" s="54">
        <f t="shared" si="43"/>
        <v>0.3417877787352705</v>
      </c>
      <c r="R24" s="110">
        <f t="shared" si="44"/>
        <v>173.31502740044658</v>
      </c>
      <c r="S24" s="53"/>
      <c r="T24" s="54">
        <f t="shared" si="45"/>
        <v>0.38926812867493205</v>
      </c>
      <c r="U24" s="56">
        <f t="shared" si="46"/>
        <v>0.38926812867493205</v>
      </c>
      <c r="V24" s="53">
        <v>55.213999999999999</v>
      </c>
      <c r="W24" s="53"/>
      <c r="X24" s="56"/>
      <c r="Y24" s="54">
        <f t="shared" si="0"/>
        <v>0.3910395331378631</v>
      </c>
      <c r="Z24" s="56"/>
      <c r="AA24" s="54">
        <f t="shared" si="1"/>
        <v>0.33757377354804063</v>
      </c>
      <c r="AB24" s="54"/>
      <c r="AD24" s="55">
        <f t="shared" si="2"/>
        <v>687.63749626956337</v>
      </c>
      <c r="AE24" s="53">
        <f t="shared" si="3"/>
        <v>96.600531130883269</v>
      </c>
      <c r="AF24" s="53">
        <f t="shared" si="16"/>
        <v>591.0369651386801</v>
      </c>
      <c r="AG24" s="55">
        <f t="shared" si="17"/>
        <v>687.63749626956337</v>
      </c>
      <c r="AH24" s="53">
        <f t="shared" si="18"/>
        <v>497.60646886911678</v>
      </c>
      <c r="AI24" s="53">
        <f t="shared" si="4"/>
        <v>190.03102740044659</v>
      </c>
      <c r="AJ24" s="53"/>
      <c r="AK24" s="55">
        <f t="shared" si="19"/>
        <v>784.23802740044653</v>
      </c>
      <c r="AL24" s="53">
        <f t="shared" si="5"/>
        <v>594.20699999999999</v>
      </c>
      <c r="AM24" s="53">
        <f t="shared" si="20"/>
        <v>190.03102740044659</v>
      </c>
      <c r="AN24" s="55">
        <f t="shared" si="21"/>
        <v>784.23802740044653</v>
      </c>
      <c r="AO24" s="53">
        <f t="shared" si="22"/>
        <v>591.03696513867999</v>
      </c>
      <c r="AP24" s="53">
        <v>193.20106226176654</v>
      </c>
      <c r="AQ24" s="53">
        <f t="shared" si="6"/>
        <v>0</v>
      </c>
      <c r="AR24" s="56">
        <f>Data!AM24/Data!AK24</f>
        <v>0.24231294678524076</v>
      </c>
      <c r="AS24" s="56">
        <f>Data!AI24/Data!AG24</f>
        <v>0.27635349792785557</v>
      </c>
      <c r="AT24" s="56"/>
      <c r="AV24" s="53">
        <f>'[1]Assets(BoP)'!$D93</f>
        <v>758.7</v>
      </c>
      <c r="AW24" s="53">
        <v>29.2</v>
      </c>
      <c r="AX24" s="53">
        <f>'[1]Assets(BoP)'!$CI93</f>
        <v>34.164000000000001</v>
      </c>
      <c r="AY24" s="53">
        <f t="shared" si="7"/>
        <v>21.129000000000001</v>
      </c>
      <c r="AZ24" s="53">
        <f t="shared" si="23"/>
        <v>716.46500000000003</v>
      </c>
      <c r="BA24" s="53">
        <v>122.258</v>
      </c>
      <c r="BB24" s="53">
        <f t="shared" si="24"/>
        <v>594.20699999999999</v>
      </c>
      <c r="BC24" s="53">
        <f t="shared" si="28"/>
        <v>105.542</v>
      </c>
      <c r="BD24" s="53">
        <v>16.716000000000001</v>
      </c>
      <c r="BE24" s="96">
        <f t="shared" si="8"/>
        <v>0.1367272489325852</v>
      </c>
      <c r="BF24" s="53">
        <v>127.523</v>
      </c>
      <c r="BG24" s="106">
        <f t="shared" si="25"/>
        <v>173.31502740044658</v>
      </c>
      <c r="BI24" s="84">
        <f>'[1]Assets(BoP)'!$Q93</f>
        <v>13.899999999999999</v>
      </c>
      <c r="BK24" s="78">
        <v>21.129000000000001</v>
      </c>
      <c r="BL24" s="81">
        <v>-7.415</v>
      </c>
      <c r="BM24" s="78">
        <f t="shared" si="47"/>
        <v>0.18599999999999728</v>
      </c>
      <c r="BP24">
        <v>2001</v>
      </c>
      <c r="BQ24" s="56">
        <f>Data!AR24*WrightZucman!B45</f>
        <v>6.5391099904423683E-2</v>
      </c>
      <c r="BR24" s="67">
        <f>$BQ24*WrightZucman!C45/WrightZucman!$B45</f>
        <v>2.181877084255833E-2</v>
      </c>
      <c r="BS24" s="73">
        <f>WrightZucman!C45*Data!AS24-BR24</f>
        <v>3.0651395007521669E-3</v>
      </c>
      <c r="BT24" s="67">
        <f>$BQ24*WrightZucman!D45/WrightZucman!$B45</f>
        <v>1.1801768686823474E-2</v>
      </c>
      <c r="BU24" s="67">
        <f>$BQ24*WrightZucman!E45/WrightZucman!$B45</f>
        <v>5.958374419172764E-3</v>
      </c>
      <c r="BV24" s="67">
        <f>$BQ24*WrightZucman!F45/WrightZucman!$B45</f>
        <v>1.6972443261986936E-2</v>
      </c>
      <c r="BW24" s="67">
        <f>$BQ24*WrightZucman!G45/WrightZucman!$B45</f>
        <v>8.8397426938821751E-3</v>
      </c>
      <c r="BX24" s="71">
        <f t="shared" si="10"/>
        <v>0</v>
      </c>
      <c r="BY24" s="71"/>
      <c r="BZ24" s="67">
        <f>Data!AR24*WrightZucman!B45</f>
        <v>6.5391099904423683E-2</v>
      </c>
      <c r="CA24" s="67">
        <f>Data!D24*WrightZucman!B45</f>
        <v>0.10406382845402529</v>
      </c>
      <c r="CB24" s="73">
        <f>Data!Q24*WrightZucman!B45</f>
        <v>9.2235594845031438E-2</v>
      </c>
      <c r="CC24" s="73">
        <f>WrightZucman!C45*Data!$Q24</f>
        <v>3.0775859564867978E-2</v>
      </c>
      <c r="CD24" s="73">
        <f>WrightZucman!D45*Data!$Q24</f>
        <v>1.6646656145005278E-2</v>
      </c>
      <c r="CE24" s="73">
        <f>WrightZucman!E45*Data!$Q24</f>
        <v>8.4044190977836733E-3</v>
      </c>
      <c r="CF24" s="73">
        <f>WrightZucman!F45*Data!$Q24</f>
        <v>2.3940007165057758E-2</v>
      </c>
      <c r="CG24" s="73">
        <f>WrightZucman!G45*Data!$Q24</f>
        <v>1.2468652872316735E-2</v>
      </c>
      <c r="CH24" s="71">
        <f t="shared" si="37"/>
        <v>1.5612511283791264E-17</v>
      </c>
      <c r="CI24" s="71"/>
      <c r="CJ24" s="53">
        <f t="shared" si="26"/>
        <v>166.5</v>
      </c>
      <c r="CK24" s="53">
        <v>137.6</v>
      </c>
      <c r="CL24" s="53">
        <v>28.9</v>
      </c>
      <c r="CM24" s="53">
        <f t="shared" si="11"/>
        <v>67.77302740044658</v>
      </c>
      <c r="CN24" s="56">
        <f t="shared" si="12"/>
        <v>0.34069263045046094</v>
      </c>
      <c r="CO24" s="56">
        <f>'[1]Assets(BoP)'!$BN93</f>
        <v>0.39225125206933814</v>
      </c>
      <c r="CQ24" s="54">
        <f t="shared" si="38"/>
        <v>0.60077584809024553</v>
      </c>
      <c r="CR24" s="54">
        <f t="shared" si="13"/>
        <v>0.7430260307042269</v>
      </c>
      <c r="CS24" s="54">
        <f t="shared" si="39"/>
        <v>0.45761493890176319</v>
      </c>
      <c r="CT24" s="54">
        <f t="shared" si="40"/>
        <v>0.54645189926484139</v>
      </c>
      <c r="CU24" s="54">
        <f t="shared" si="41"/>
        <v>0.60077584809024553</v>
      </c>
      <c r="CV24" s="54">
        <f t="shared" si="29"/>
        <v>2.1184767815932645E-7</v>
      </c>
      <c r="CW24" s="54">
        <f t="shared" si="35"/>
        <v>0.70457365314235498</v>
      </c>
      <c r="CX24" s="54">
        <f t="shared" si="42"/>
        <v>8.6648199089429557E-8</v>
      </c>
      <c r="CY24" s="54">
        <f t="shared" si="30"/>
        <v>8.6483662658111304E-7</v>
      </c>
      <c r="CZ24" s="57">
        <f t="shared" si="14"/>
        <v>0.8146898864906863</v>
      </c>
      <c r="DA24" s="57">
        <f t="shared" si="15"/>
        <v>0.8146898864906863</v>
      </c>
      <c r="DB24" s="81">
        <f t="shared" si="31"/>
        <v>0.86483662658111304</v>
      </c>
    </row>
    <row r="25" spans="1:106" x14ac:dyDescent="0.2">
      <c r="A25" s="85">
        <v>2002</v>
      </c>
      <c r="B25" s="99">
        <v>376579.77399999968</v>
      </c>
      <c r="C25" s="99">
        <v>143134.4500000001</v>
      </c>
      <c r="D25" s="67">
        <v>0.38009064714134178</v>
      </c>
      <c r="E25" s="99">
        <v>225741.63500000001</v>
      </c>
      <c r="F25" s="99">
        <v>134372.06700000021</v>
      </c>
      <c r="G25" s="67">
        <v>0.5952471594351666</v>
      </c>
      <c r="H25" s="99">
        <v>317607.63700000063</v>
      </c>
      <c r="I25" s="99">
        <v>139896.31766593971</v>
      </c>
      <c r="J25" s="67">
        <v>0.44046899812405782</v>
      </c>
      <c r="K25" s="98">
        <f t="shared" si="32"/>
        <v>0</v>
      </c>
      <c r="L25" s="98">
        <f t="shared" si="33"/>
        <v>0</v>
      </c>
      <c r="M25" s="98">
        <f t="shared" si="34"/>
        <v>0</v>
      </c>
      <c r="N25" s="98"/>
      <c r="O25" s="53">
        <f>[6]TablePage!$D$7/1000</f>
        <v>306.69900000000001</v>
      </c>
      <c r="P25" s="55">
        <f>WrightZucman!O46</f>
        <v>152.87100000000001</v>
      </c>
      <c r="Q25" s="54">
        <f t="shared" si="43"/>
        <v>0.33263920621450482</v>
      </c>
      <c r="R25" s="110">
        <f t="shared" si="44"/>
        <v>180.46289977931443</v>
      </c>
      <c r="S25" s="53"/>
      <c r="T25" s="54">
        <f t="shared" si="45"/>
        <v>0.370437219866875</v>
      </c>
      <c r="U25" s="56">
        <f t="shared" si="46"/>
        <v>0.370437219866875</v>
      </c>
      <c r="V25" s="53">
        <v>50.915999999999997</v>
      </c>
      <c r="W25" s="53"/>
      <c r="X25" s="56"/>
      <c r="Y25" s="54">
        <f t="shared" si="0"/>
        <v>0.33306513334772453</v>
      </c>
      <c r="Z25" s="56"/>
      <c r="AA25" s="54">
        <f t="shared" si="1"/>
        <v>0.28777257899735881</v>
      </c>
      <c r="AB25" s="54"/>
      <c r="AD25" s="55">
        <f t="shared" si="2"/>
        <v>831.31849483641759</v>
      </c>
      <c r="AE25" s="53">
        <f t="shared" si="3"/>
        <v>101.91840494289684</v>
      </c>
      <c r="AF25" s="53">
        <f t="shared" si="16"/>
        <v>729.40008989352077</v>
      </c>
      <c r="AG25" s="55">
        <f t="shared" si="17"/>
        <v>831.31849483641759</v>
      </c>
      <c r="AH25" s="53">
        <f t="shared" si="18"/>
        <v>631.91259505710309</v>
      </c>
      <c r="AI25" s="53">
        <f t="shared" si="4"/>
        <v>199.40589977931444</v>
      </c>
      <c r="AJ25" s="53"/>
      <c r="AK25" s="55">
        <f t="shared" si="19"/>
        <v>933.2368997793144</v>
      </c>
      <c r="AL25" s="53">
        <f t="shared" si="5"/>
        <v>733.8309999999999</v>
      </c>
      <c r="AM25" s="53">
        <f t="shared" si="20"/>
        <v>199.40589977931444</v>
      </c>
      <c r="AN25" s="55">
        <f t="shared" si="21"/>
        <v>933.2368997793144</v>
      </c>
      <c r="AO25" s="53">
        <f t="shared" si="22"/>
        <v>729.40008989352077</v>
      </c>
      <c r="AP25" s="53">
        <v>203.83680988579368</v>
      </c>
      <c r="AQ25" s="53">
        <f t="shared" si="6"/>
        <v>0</v>
      </c>
      <c r="AR25" s="56">
        <f>Data!AM25/Data!AK25</f>
        <v>0.21367125520483449</v>
      </c>
      <c r="AS25" s="56">
        <f>Data!AI25/Data!AG25</f>
        <v>0.23986703173078383</v>
      </c>
      <c r="AT25" s="56"/>
      <c r="AV25" s="53">
        <f>'[1]Assets(BoP)'!$D94</f>
        <v>911.7</v>
      </c>
      <c r="AW25" s="53">
        <v>23.9</v>
      </c>
      <c r="AX25" s="53">
        <f>'[1]Assets(BoP)'!$CI94</f>
        <v>38.228999999999999</v>
      </c>
      <c r="AY25" s="53">
        <f t="shared" si="7"/>
        <v>23.56</v>
      </c>
      <c r="AZ25" s="53">
        <f t="shared" si="23"/>
        <v>873.13099999999997</v>
      </c>
      <c r="BA25" s="53">
        <v>139.30000000000001</v>
      </c>
      <c r="BB25" s="53">
        <f t="shared" si="24"/>
        <v>733.8309999999999</v>
      </c>
      <c r="BC25" s="53">
        <f t="shared" si="28"/>
        <v>120.35700000000001</v>
      </c>
      <c r="BD25" s="53">
        <v>18.943000000000001</v>
      </c>
      <c r="BE25" s="96">
        <f t="shared" si="8"/>
        <v>0.13598707824838477</v>
      </c>
      <c r="BF25" s="53">
        <v>144.67500000000001</v>
      </c>
      <c r="BG25" s="106">
        <f t="shared" si="25"/>
        <v>180.46289977931443</v>
      </c>
      <c r="BI25" s="84">
        <f>'[1]Assets(BoP)'!$Q94</f>
        <v>48.199999999999996</v>
      </c>
      <c r="BK25" s="78">
        <v>23.56</v>
      </c>
      <c r="BL25" s="81">
        <v>24.363</v>
      </c>
      <c r="BM25" s="78">
        <f t="shared" si="47"/>
        <v>0.27699999999999747</v>
      </c>
      <c r="BP25">
        <v>2002</v>
      </c>
      <c r="BQ25" s="56">
        <f>Data!AR25*WrightZucman!B46</f>
        <v>5.8476521406968365E-2</v>
      </c>
      <c r="BR25" s="67">
        <f>$BQ25*WrightZucman!C46/WrightZucman!$B46</f>
        <v>2.5295984043390143E-2</v>
      </c>
      <c r="BS25" s="73">
        <f>WrightZucman!C46*Data!AS25-BR25</f>
        <v>3.1012498352639244E-3</v>
      </c>
      <c r="BT25" s="67">
        <f>$BQ25*WrightZucman!D46/WrightZucman!$B46</f>
        <v>6.9774313374186972E-3</v>
      </c>
      <c r="BU25" s="67">
        <f>$BQ25*WrightZucman!E46/WrightZucman!$B46</f>
        <v>6.0185936175730995E-3</v>
      </c>
      <c r="BV25" s="67">
        <f>$BQ25*WrightZucman!F46/WrightZucman!$B46</f>
        <v>1.3064513363552197E-2</v>
      </c>
      <c r="BW25" s="67">
        <f>$BQ25*WrightZucman!G46/WrightZucman!$B46</f>
        <v>7.1199990450342247E-3</v>
      </c>
      <c r="BX25" s="71">
        <f t="shared" si="10"/>
        <v>0</v>
      </c>
      <c r="BY25" s="71"/>
      <c r="BZ25" s="67">
        <f>Data!AR25*WrightZucman!B46</f>
        <v>5.8476521406968365E-2</v>
      </c>
      <c r="CA25" s="67">
        <f>Data!D25*WrightZucman!B46</f>
        <v>0.10402138014700184</v>
      </c>
      <c r="CB25" s="73">
        <f>Data!Q25*WrightZucman!B46</f>
        <v>9.1035098026415989E-2</v>
      </c>
      <c r="CC25" s="73">
        <f>WrightZucman!C46*Data!$Q25</f>
        <v>3.9380290271340601E-2</v>
      </c>
      <c r="CD25" s="73">
        <f>WrightZucman!D46*Data!$Q25</f>
        <v>1.0862327828187216E-2</v>
      </c>
      <c r="CE25" s="73">
        <f>WrightZucman!E46*Data!$Q25</f>
        <v>9.3696281306438617E-3</v>
      </c>
      <c r="CF25" s="73">
        <f>WrightZucman!F46*Data!$Q25</f>
        <v>2.0338577365798461E-2</v>
      </c>
      <c r="CG25" s="73">
        <f>WrightZucman!G46*Data!$Q25</f>
        <v>1.1084274430445851E-2</v>
      </c>
      <c r="CH25" s="71">
        <f t="shared" si="37"/>
        <v>0</v>
      </c>
      <c r="CI25" s="71"/>
      <c r="CJ25" s="53">
        <f t="shared" si="26"/>
        <v>156.9</v>
      </c>
      <c r="CK25" s="53">
        <v>126</v>
      </c>
      <c r="CL25" s="53">
        <v>30.9</v>
      </c>
      <c r="CM25" s="53">
        <f t="shared" si="11"/>
        <v>60.105899779314406</v>
      </c>
      <c r="CN25" s="56">
        <f t="shared" si="12"/>
        <v>0.26103821955990003</v>
      </c>
      <c r="CO25" s="56">
        <f>'[1]Assets(BoP)'!$BN94</f>
        <v>0.28192501779051449</v>
      </c>
      <c r="CQ25" s="54">
        <f t="shared" si="38"/>
        <v>0.55282061310380415</v>
      </c>
      <c r="CR25" s="54">
        <f t="shared" si="13"/>
        <v>0.76663228203972245</v>
      </c>
      <c r="CS25" s="54">
        <f t="shared" si="39"/>
        <v>0.41794227826297886</v>
      </c>
      <c r="CT25" s="54">
        <f t="shared" si="40"/>
        <v>0.48535035129705717</v>
      </c>
      <c r="CU25" s="54">
        <f t="shared" si="41"/>
        <v>0.55282061310380415</v>
      </c>
      <c r="CV25" s="54">
        <f t="shared" si="29"/>
        <v>2.7154650883163649E-7</v>
      </c>
      <c r="CW25" s="54">
        <f t="shared" si="35"/>
        <v>0.74459662991297348</v>
      </c>
      <c r="CX25" s="54">
        <f t="shared" si="42"/>
        <v>2.9791283310346556E-7</v>
      </c>
      <c r="CY25" s="54">
        <f t="shared" si="30"/>
        <v>8.7898991306395735E-7</v>
      </c>
      <c r="CZ25" s="57">
        <f t="shared" si="14"/>
        <v>0.84710486303247834</v>
      </c>
      <c r="DA25" s="57">
        <f t="shared" si="15"/>
        <v>0.84710486303247834</v>
      </c>
      <c r="DB25" s="81">
        <f t="shared" si="31"/>
        <v>0.87898991306395724</v>
      </c>
    </row>
    <row r="26" spans="1:106" x14ac:dyDescent="0.2">
      <c r="A26" s="85">
        <v>2003</v>
      </c>
      <c r="B26" s="99">
        <v>503235.49099999992</v>
      </c>
      <c r="C26" s="99">
        <v>178213.05799999999</v>
      </c>
      <c r="D26" s="67">
        <v>0.35413451790903211</v>
      </c>
      <c r="E26" s="99">
        <v>452940.37900000019</v>
      </c>
      <c r="F26" s="99">
        <v>178599.677</v>
      </c>
      <c r="G26" s="67">
        <v>0.39431166943938972</v>
      </c>
      <c r="H26" s="99">
        <v>461885.84100000048</v>
      </c>
      <c r="I26" s="99">
        <v>178748.64458443131</v>
      </c>
      <c r="J26" s="67">
        <v>0.38699745417056652</v>
      </c>
      <c r="K26" s="98">
        <f t="shared" si="32"/>
        <v>0</v>
      </c>
      <c r="L26" s="98">
        <f t="shared" si="33"/>
        <v>0</v>
      </c>
      <c r="M26" s="98">
        <f t="shared" si="34"/>
        <v>0</v>
      </c>
      <c r="N26" s="98"/>
      <c r="O26" s="53">
        <f>[7]TablePage!$D$7/1000</f>
        <v>409.94799999999998</v>
      </c>
      <c r="P26" s="55">
        <f>WrightZucman!O47</f>
        <v>207.07500000000002</v>
      </c>
      <c r="Q26" s="54">
        <f t="shared" si="43"/>
        <v>0.33560337296988929</v>
      </c>
      <c r="R26" s="110">
        <f t="shared" si="44"/>
        <v>224.00829421631821</v>
      </c>
      <c r="S26" s="53"/>
      <c r="T26" s="54">
        <f t="shared" si="45"/>
        <v>0.35334974391764967</v>
      </c>
      <c r="U26" s="56">
        <f t="shared" si="46"/>
        <v>0.35334974391764967</v>
      </c>
      <c r="V26" s="53">
        <v>59.228000000000002</v>
      </c>
      <c r="W26" s="53"/>
      <c r="X26" s="56"/>
      <c r="Y26" s="54">
        <f t="shared" si="0"/>
        <v>0.2860219727151998</v>
      </c>
      <c r="Z26" s="56"/>
      <c r="AA26" s="54">
        <f t="shared" si="1"/>
        <v>0.25670009006515443</v>
      </c>
      <c r="AB26" s="54"/>
      <c r="AD26" s="55">
        <f t="shared" si="2"/>
        <v>967.90377225171039</v>
      </c>
      <c r="AE26" s="53">
        <f t="shared" si="3"/>
        <v>116.07352196460778</v>
      </c>
      <c r="AF26" s="53">
        <f t="shared" si="16"/>
        <v>851.83025028710267</v>
      </c>
      <c r="AG26" s="55">
        <f t="shared" si="17"/>
        <v>967.90377225171039</v>
      </c>
      <c r="AH26" s="53">
        <f t="shared" si="18"/>
        <v>725.62647803539221</v>
      </c>
      <c r="AI26" s="53">
        <f t="shared" si="4"/>
        <v>242.27729421631821</v>
      </c>
      <c r="AJ26" s="53"/>
      <c r="AK26" s="55">
        <f t="shared" si="19"/>
        <v>1083.9772942163181</v>
      </c>
      <c r="AL26" s="53">
        <f t="shared" si="5"/>
        <v>841.69999999999993</v>
      </c>
      <c r="AM26" s="53">
        <f t="shared" si="20"/>
        <v>242.27729421631821</v>
      </c>
      <c r="AN26" s="55">
        <f t="shared" si="21"/>
        <v>1083.9772942163181</v>
      </c>
      <c r="AO26" s="53">
        <f t="shared" si="22"/>
        <v>851.83025028710256</v>
      </c>
      <c r="AP26" s="53">
        <v>232.14704392921556</v>
      </c>
      <c r="AQ26" s="53">
        <f t="shared" si="6"/>
        <v>0</v>
      </c>
      <c r="AR26" s="56">
        <f>Data!AM26/Data!AK26</f>
        <v>0.2235077206035733</v>
      </c>
      <c r="AS26" s="56">
        <f>Data!AI26/Data!AG26</f>
        <v>0.25031134412534578</v>
      </c>
      <c r="AT26" s="56"/>
      <c r="AV26" s="53">
        <f>'[1]Assets(BoP)'!$D95</f>
        <v>1056.3</v>
      </c>
      <c r="AW26" s="53">
        <v>20.5</v>
      </c>
      <c r="AX26" s="53">
        <f>'[1]Assets(BoP)'!$CI95</f>
        <v>41.554000000000002</v>
      </c>
      <c r="AY26" s="53">
        <f t="shared" si="7"/>
        <v>25.66</v>
      </c>
      <c r="AZ26" s="53">
        <f t="shared" si="23"/>
        <v>1019.9059999999999</v>
      </c>
      <c r="BA26" s="53">
        <v>178.20599999999999</v>
      </c>
      <c r="BB26" s="53">
        <f t="shared" si="24"/>
        <v>841.69999999999993</v>
      </c>
      <c r="BC26" s="53">
        <f t="shared" si="28"/>
        <v>159.93699999999998</v>
      </c>
      <c r="BD26" s="53">
        <v>18.268999999999998</v>
      </c>
      <c r="BE26" s="96">
        <f t="shared" si="8"/>
        <v>0.10251618912943447</v>
      </c>
      <c r="BF26" s="53">
        <v>184.137</v>
      </c>
      <c r="BG26" s="107">
        <f t="shared" si="25"/>
        <v>224.00829421631821</v>
      </c>
      <c r="BI26" s="84">
        <f>'[1]Assets(BoP)'!$Q95</f>
        <v>89.2</v>
      </c>
      <c r="BK26" s="78">
        <v>25.66</v>
      </c>
      <c r="BL26" s="81">
        <v>63.304000000000002</v>
      </c>
      <c r="BM26" s="78">
        <f t="shared" si="47"/>
        <v>0.23600000000000421</v>
      </c>
      <c r="BP26">
        <v>2003</v>
      </c>
      <c r="BQ26" s="56">
        <f>Data!AR26*WrightZucman!B47</f>
        <v>5.7572868849424606E-2</v>
      </c>
      <c r="BR26" s="67">
        <f>$BQ26*WrightZucman!C47/WrightZucman!$B47</f>
        <v>2.5183542857044897E-2</v>
      </c>
      <c r="BS26" s="73">
        <f>WrightZucman!C47*Data!AS26-BR26</f>
        <v>3.0200755475552135E-3</v>
      </c>
      <c r="BT26" s="67">
        <f>$BQ26*WrightZucman!D47/WrightZucman!$B47</f>
        <v>6.6412797531029168E-3</v>
      </c>
      <c r="BU26" s="67">
        <f>$BQ26*WrightZucman!E47/WrightZucman!$B47</f>
        <v>5.6590654551468538E-3</v>
      </c>
      <c r="BV26" s="67">
        <f>$BQ26*WrightZucman!F47/WrightZucman!$B47</f>
        <v>1.2924213190907578E-2</v>
      </c>
      <c r="BW26" s="67">
        <f>$BQ26*WrightZucman!G47/WrightZucman!$B47</f>
        <v>7.1647675932223565E-3</v>
      </c>
      <c r="BX26" s="71">
        <f t="shared" si="10"/>
        <v>0</v>
      </c>
      <c r="BY26" s="71"/>
      <c r="BZ26" s="67">
        <f>Data!AR26*WrightZucman!B47</f>
        <v>5.7572868849424606E-2</v>
      </c>
      <c r="CA26" s="67">
        <f>Data!D26*WrightZucman!B47</f>
        <v>9.1220742172004224E-2</v>
      </c>
      <c r="CB26" s="73">
        <f>Data!Q26*WrightZucman!B47</f>
        <v>8.6447344750519836E-2</v>
      </c>
      <c r="CC26" s="73">
        <f>WrightZucman!C47*Data!$Q26</f>
        <v>3.7813825416556597E-2</v>
      </c>
      <c r="CD26" s="73">
        <f>WrightZucman!D47*Data!$Q26</f>
        <v>9.9720755952371308E-3</v>
      </c>
      <c r="CE26" s="73">
        <f>WrightZucman!E47*Data!$Q26</f>
        <v>8.4972521283647445E-3</v>
      </c>
      <c r="CF26" s="73">
        <f>WrightZucman!F47*Data!$Q26</f>
        <v>1.9406083727835106E-2</v>
      </c>
      <c r="CG26" s="73">
        <f>WrightZucman!G47*Data!$Q26</f>
        <v>1.0758107882526258E-2</v>
      </c>
      <c r="CH26" s="71">
        <f t="shared" si="37"/>
        <v>0</v>
      </c>
      <c r="CI26" s="71"/>
      <c r="CJ26" s="53">
        <f t="shared" si="26"/>
        <v>209.8</v>
      </c>
      <c r="CK26" s="53">
        <v>175.8</v>
      </c>
      <c r="CL26" s="53">
        <v>34</v>
      </c>
      <c r="CM26" s="53">
        <f t="shared" si="11"/>
        <v>64.071294216318208</v>
      </c>
      <c r="CN26" s="56">
        <f t="shared" si="12"/>
        <v>0.28295301874812406</v>
      </c>
      <c r="CO26" s="56">
        <f>'[1]Assets(BoP)'!$BN95</f>
        <v>0.2984924508672061</v>
      </c>
      <c r="CQ26" s="54">
        <f t="shared" si="38"/>
        <v>0.63748382606730736</v>
      </c>
      <c r="CR26" s="54">
        <f t="shared" si="13"/>
        <v>0.85470246260515159</v>
      </c>
      <c r="CS26" s="54">
        <f t="shared" si="39"/>
        <v>0.48704764167755732</v>
      </c>
      <c r="CT26" s="54">
        <f t="shared" si="40"/>
        <v>0.56495733329621534</v>
      </c>
      <c r="CU26" s="54">
        <f t="shared" si="41"/>
        <v>0.63748382606730736</v>
      </c>
      <c r="CV26" s="54">
        <f t="shared" si="29"/>
        <v>4.6796013403924391E-7</v>
      </c>
      <c r="CW26" s="54">
        <f t="shared" si="35"/>
        <v>0.79729046473400467</v>
      </c>
      <c r="CX26" s="54">
        <f t="shared" si="42"/>
        <v>6.6920853864392603E-7</v>
      </c>
      <c r="CY26" s="54">
        <f t="shared" si="30"/>
        <v>8.6248787637329458E-7</v>
      </c>
      <c r="CZ26" s="57">
        <f t="shared" si="14"/>
        <v>0.9244077355458713</v>
      </c>
      <c r="DA26" s="57">
        <f t="shared" si="15"/>
        <v>0.9244077355458713</v>
      </c>
      <c r="DB26" s="81">
        <f t="shared" si="31"/>
        <v>0.8624878763732946</v>
      </c>
    </row>
    <row r="27" spans="1:106" x14ac:dyDescent="0.2">
      <c r="A27" s="85">
        <v>2004</v>
      </c>
      <c r="B27" s="99">
        <v>649878.73999999941</v>
      </c>
      <c r="C27" s="99">
        <v>279954.44500000012</v>
      </c>
      <c r="D27" s="67">
        <v>0.43077950972823081</v>
      </c>
      <c r="E27" s="99">
        <v>592341.57399999967</v>
      </c>
      <c r="F27" s="99">
        <v>285282.34099999961</v>
      </c>
      <c r="G27" s="67">
        <v>0.4816179608558081</v>
      </c>
      <c r="H27" s="99">
        <v>621229.4169999999</v>
      </c>
      <c r="I27" s="99">
        <v>285609.59094886569</v>
      </c>
      <c r="J27" s="67">
        <v>0.45974898022072541</v>
      </c>
      <c r="K27" s="98">
        <f t="shared" si="32"/>
        <v>0</v>
      </c>
      <c r="L27" s="98">
        <f t="shared" si="33"/>
        <v>0</v>
      </c>
      <c r="M27" s="98">
        <f t="shared" si="34"/>
        <v>0</v>
      </c>
      <c r="N27" s="98"/>
      <c r="O27" s="53">
        <f>[8]TablePage!$D$7/1000</f>
        <v>501.37400000000002</v>
      </c>
      <c r="P27" s="109">
        <f>WrightZucman!O48</f>
        <v>258.76299999999998</v>
      </c>
      <c r="Q27" s="54">
        <f t="shared" si="43"/>
        <v>0.34041626706764699</v>
      </c>
      <c r="R27" s="110">
        <f t="shared" si="44"/>
        <v>312.63115337177516</v>
      </c>
      <c r="S27" s="53">
        <f>BF27+V27</f>
        <v>320.25200000000001</v>
      </c>
      <c r="T27" s="54">
        <f t="shared" si="45"/>
        <v>0.38406532449677161</v>
      </c>
      <c r="U27" s="56">
        <f t="shared" si="46"/>
        <v>0.38406532449677161</v>
      </c>
      <c r="V27" s="53">
        <v>74.067999999999998</v>
      </c>
      <c r="W27" s="53">
        <f>[9]TablePage!$I$7/1000</f>
        <v>163.54400000000001</v>
      </c>
      <c r="X27" s="56">
        <f t="shared" ref="X27:X43" si="48">W27/O27</f>
        <v>0.32619162541336411</v>
      </c>
      <c r="Y27" s="54">
        <f t="shared" si="0"/>
        <v>0.28623875901887058</v>
      </c>
      <c r="Z27" s="56">
        <f>(V27+W27)/(O27+P27)</f>
        <v>0.31259101977669818</v>
      </c>
      <c r="AA27" s="54">
        <f t="shared" si="1"/>
        <v>0.26576539999545157</v>
      </c>
      <c r="AB27" s="54">
        <f t="shared" ref="AB27:AB43" si="49">(V27+W27)/(P27/(1-BE27)+O27)</f>
        <v>0.30460307146252402</v>
      </c>
      <c r="AD27" s="55">
        <f t="shared" si="2"/>
        <v>1194.4454776145176</v>
      </c>
      <c r="AE27" s="53">
        <f t="shared" si="3"/>
        <v>146.79167575725756</v>
      </c>
      <c r="AF27" s="53">
        <f t="shared" si="16"/>
        <v>1047.6538018572601</v>
      </c>
      <c r="AG27" s="55">
        <f t="shared" si="17"/>
        <v>1194.4454776145176</v>
      </c>
      <c r="AH27" s="53">
        <f t="shared" si="18"/>
        <v>864.62432424274243</v>
      </c>
      <c r="AI27" s="53">
        <f t="shared" si="4"/>
        <v>329.82115337177515</v>
      </c>
      <c r="AJ27" s="53"/>
      <c r="AK27" s="55">
        <f t="shared" si="19"/>
        <v>1341.2371533717751</v>
      </c>
      <c r="AL27" s="53">
        <f t="shared" si="5"/>
        <v>1011.4159999999999</v>
      </c>
      <c r="AM27" s="53">
        <f t="shared" si="20"/>
        <v>329.82115337177515</v>
      </c>
      <c r="AN27" s="55">
        <f t="shared" si="21"/>
        <v>1341.2371533717751</v>
      </c>
      <c r="AO27" s="53">
        <f t="shared" si="22"/>
        <v>1047.6538018572601</v>
      </c>
      <c r="AP27" s="53">
        <v>293.58335151451513</v>
      </c>
      <c r="AQ27" s="53">
        <f t="shared" si="6"/>
        <v>0</v>
      </c>
      <c r="AR27" s="56">
        <f>Data!AM27/Data!AK27</f>
        <v>0.24590815467840879</v>
      </c>
      <c r="AS27" s="56">
        <f>Data!AI27/Data!AG27</f>
        <v>0.27612909886056602</v>
      </c>
      <c r="AT27" s="56"/>
      <c r="AV27" s="53">
        <f>'[1]Assets(BoP)'!$D96</f>
        <v>1289.3</v>
      </c>
      <c r="AW27" s="53">
        <v>20.5</v>
      </c>
      <c r="AX27" s="53">
        <f>'[1]Assets(BoP)'!$CI96</f>
        <v>54.087000000000003</v>
      </c>
      <c r="AY27" s="53">
        <f t="shared" si="7"/>
        <v>37.036999999999999</v>
      </c>
      <c r="AZ27" s="53">
        <f t="shared" si="23"/>
        <v>1251.75</v>
      </c>
      <c r="BA27" s="53">
        <v>240.334</v>
      </c>
      <c r="BB27" s="53">
        <f t="shared" si="24"/>
        <v>1011.4159999999999</v>
      </c>
      <c r="BC27" s="53">
        <f t="shared" si="28"/>
        <v>223.14400000000001</v>
      </c>
      <c r="BD27" s="53">
        <v>17.190000000000001</v>
      </c>
      <c r="BE27" s="96">
        <f t="shared" si="8"/>
        <v>7.1525460400942029E-2</v>
      </c>
      <c r="BF27" s="53">
        <v>246.184</v>
      </c>
      <c r="BG27" s="107">
        <f t="shared" si="25"/>
        <v>312.63115337177516</v>
      </c>
      <c r="BI27" s="84">
        <f>'[1]Assets(BoP)'!$Q96</f>
        <v>128.9</v>
      </c>
      <c r="BK27" s="78">
        <v>37.036999999999999</v>
      </c>
      <c r="BL27" s="81">
        <v>91.58</v>
      </c>
      <c r="BM27" s="78">
        <f t="shared" si="47"/>
        <v>0.28300000000000125</v>
      </c>
      <c r="BP27">
        <v>2004</v>
      </c>
      <c r="BQ27" s="56">
        <f>Data!AR27*WrightZucman!B48</f>
        <v>6.7827327414901176E-2</v>
      </c>
      <c r="BR27" s="67">
        <f>$BQ27*WrightZucman!C48/WrightZucman!$B48</f>
        <v>2.8121926679020852E-2</v>
      </c>
      <c r="BS27" s="73">
        <f>WrightZucman!C48*Data!AS27-BR27</f>
        <v>3.4560512138072166E-3</v>
      </c>
      <c r="BT27" s="67">
        <f>$BQ27*WrightZucman!D48/WrightZucman!$B48</f>
        <v>7.9655984530803189E-3</v>
      </c>
      <c r="BU27" s="67">
        <f>$BQ27*WrightZucman!E48/WrightZucman!$B48</f>
        <v>8.4141504060574017E-3</v>
      </c>
      <c r="BV27" s="67">
        <f>$BQ27*WrightZucman!F48/WrightZucman!$B48</f>
        <v>1.5179492256150314E-2</v>
      </c>
      <c r="BW27" s="67">
        <f>$BQ27*WrightZucman!G48/WrightZucman!$B48</f>
        <v>8.1461596205922807E-3</v>
      </c>
      <c r="BX27" s="71">
        <f t="shared" si="10"/>
        <v>0</v>
      </c>
      <c r="BY27" s="71"/>
      <c r="BZ27" s="67">
        <f>Data!AR27*WrightZucman!B48</f>
        <v>6.7827327414901176E-2</v>
      </c>
      <c r="CA27" s="67">
        <f>Data!D27*WrightZucman!B48</f>
        <v>0.11881925139155529</v>
      </c>
      <c r="CB27" s="73">
        <f>Data!Q27*WrightZucman!B48</f>
        <v>9.3894916311138651E-2</v>
      </c>
      <c r="CC27" s="73">
        <f>WrightZucman!C48*Data!$Q27</f>
        <v>3.8929824492163909E-2</v>
      </c>
      <c r="CD27" s="73">
        <f>WrightZucman!D48*Data!$Q27</f>
        <v>1.1026959613859079E-2</v>
      </c>
      <c r="CE27" s="73">
        <f>WrightZucman!E48*Data!$Q27</f>
        <v>1.1647900312706787E-2</v>
      </c>
      <c r="CF27" s="73">
        <f>WrightZucman!F48*Data!$Q27</f>
        <v>2.1013317336217023E-2</v>
      </c>
      <c r="CG27" s="73">
        <f>WrightZucman!G48*Data!$Q27</f>
        <v>1.1276914556191843E-2</v>
      </c>
      <c r="CH27" s="71">
        <f t="shared" si="37"/>
        <v>0</v>
      </c>
      <c r="CI27" s="71"/>
      <c r="CJ27" s="53">
        <f t="shared" si="26"/>
        <v>273.89999999999998</v>
      </c>
      <c r="CK27" s="53">
        <v>232.2</v>
      </c>
      <c r="CL27" s="53">
        <v>41.7</v>
      </c>
      <c r="CM27" s="53">
        <f t="shared" si="11"/>
        <v>89.487153371775108</v>
      </c>
      <c r="CN27" s="56">
        <f t="shared" si="12"/>
        <v>0.30423084199499201</v>
      </c>
      <c r="CO27" s="56">
        <f>'[1]Assets(BoP)'!$BN96</f>
        <v>0.3076279160749007</v>
      </c>
      <c r="CQ27" s="54">
        <f t="shared" si="38"/>
        <v>0.63639321697471263</v>
      </c>
      <c r="CR27" s="54">
        <f t="shared" si="13"/>
        <v>0.78455550032087162</v>
      </c>
      <c r="CS27" s="54">
        <f t="shared" si="39"/>
        <v>0.49571491849051236</v>
      </c>
      <c r="CT27" s="54">
        <f t="shared" si="40"/>
        <v>0.5798749652794174</v>
      </c>
      <c r="CU27" s="54">
        <f t="shared" si="41"/>
        <v>0.63639321697471263</v>
      </c>
      <c r="CV27" s="54">
        <f t="shared" si="29"/>
        <v>4.9591344695196345E-7</v>
      </c>
      <c r="CW27" s="54">
        <f t="shared" si="35"/>
        <v>0.91252051474456597</v>
      </c>
      <c r="CX27" s="54">
        <f t="shared" si="42"/>
        <v>6.1243549326450928E-7</v>
      </c>
      <c r="CY27" s="54">
        <f t="shared" si="30"/>
        <v>1.102485057755551E-6</v>
      </c>
      <c r="CZ27" s="57">
        <f t="shared" si="14"/>
        <v>0.82769422435736539</v>
      </c>
      <c r="DA27" s="57">
        <f t="shared" si="15"/>
        <v>0.82769422435736562</v>
      </c>
      <c r="DB27" s="81">
        <f t="shared" si="31"/>
        <v>1.1024850577555512</v>
      </c>
    </row>
    <row r="28" spans="1:106" x14ac:dyDescent="0.2">
      <c r="A28" s="85">
        <v>2005</v>
      </c>
      <c r="B28" s="99">
        <v>794746.82099999883</v>
      </c>
      <c r="C28" s="99">
        <v>336649.97000000009</v>
      </c>
      <c r="D28" s="67">
        <v>0.42359398125859332</v>
      </c>
      <c r="E28" s="99">
        <v>726859.38299999898</v>
      </c>
      <c r="F28" s="99">
        <v>334440.60400000098</v>
      </c>
      <c r="G28" s="67">
        <v>0.46011733744104588</v>
      </c>
      <c r="H28" s="99">
        <v>765695.18099999893</v>
      </c>
      <c r="I28" s="99">
        <v>335154.12363171962</v>
      </c>
      <c r="J28" s="67">
        <v>0.43771220186342019</v>
      </c>
      <c r="K28" s="98">
        <f t="shared" si="32"/>
        <v>0</v>
      </c>
      <c r="L28" s="98">
        <f t="shared" si="33"/>
        <v>0</v>
      </c>
      <c r="M28" s="98">
        <f t="shared" si="34"/>
        <v>0</v>
      </c>
      <c r="N28" s="98"/>
      <c r="O28" s="53">
        <f>[10]TablePage!$D$7/1000</f>
        <v>577.74900000000002</v>
      </c>
      <c r="P28" s="109">
        <f>WrightZucman!O49</f>
        <v>324.86200000000002</v>
      </c>
      <c r="Q28" s="54">
        <f t="shared" si="43"/>
        <v>0.35991362835152685</v>
      </c>
      <c r="R28" s="110">
        <f t="shared" si="44"/>
        <v>386.75114636501593</v>
      </c>
      <c r="S28" s="53">
        <f t="shared" ref="S28:S43" si="50">BF28+V28</f>
        <v>385.03499999999997</v>
      </c>
      <c r="T28" s="54">
        <f t="shared" si="45"/>
        <v>0.40098609401210977</v>
      </c>
      <c r="U28" s="56">
        <f t="shared" si="46"/>
        <v>0.40098609401210977</v>
      </c>
      <c r="V28" s="53">
        <v>100.143</v>
      </c>
      <c r="W28" s="53">
        <f>[10]TablePage!$J$7/1000</f>
        <v>205.55600000000001</v>
      </c>
      <c r="X28" s="56">
        <f t="shared" si="48"/>
        <v>0.35578772096533268</v>
      </c>
      <c r="Y28" s="54">
        <f t="shared" si="0"/>
        <v>0.3082632009899588</v>
      </c>
      <c r="Z28" s="56">
        <f t="shared" ref="Z28:Z42" si="51">(V28+W28)/(O28+P28)</f>
        <v>0.33868299854533124</v>
      </c>
      <c r="AA28" s="54">
        <f t="shared" si="1"/>
        <v>0.29552448617455501</v>
      </c>
      <c r="AB28" s="54">
        <f t="shared" si="49"/>
        <v>0.33350886283425984</v>
      </c>
      <c r="AD28" s="55">
        <f t="shared" si="2"/>
        <v>1363.0910843573263</v>
      </c>
      <c r="AE28" s="53">
        <f t="shared" si="3"/>
        <v>191.08406200768991</v>
      </c>
      <c r="AF28" s="53">
        <f t="shared" si="16"/>
        <v>1172.0070223496364</v>
      </c>
      <c r="AG28" s="55">
        <f t="shared" si="17"/>
        <v>1363.0910843573263</v>
      </c>
      <c r="AH28" s="53">
        <f t="shared" si="18"/>
        <v>964.80793799231037</v>
      </c>
      <c r="AI28" s="53">
        <f t="shared" si="4"/>
        <v>398.28314636501591</v>
      </c>
      <c r="AJ28" s="53"/>
      <c r="AK28" s="55">
        <f t="shared" si="19"/>
        <v>1554.1751463650162</v>
      </c>
      <c r="AL28" s="53">
        <f t="shared" si="5"/>
        <v>1155.8920000000003</v>
      </c>
      <c r="AM28" s="53">
        <f t="shared" si="20"/>
        <v>398.28314636501591</v>
      </c>
      <c r="AN28" s="55">
        <f t="shared" si="21"/>
        <v>1554.1751463650162</v>
      </c>
      <c r="AO28" s="53">
        <f t="shared" si="22"/>
        <v>1172.0070223496364</v>
      </c>
      <c r="AP28" s="53">
        <v>382.16812401537982</v>
      </c>
      <c r="AQ28" s="53">
        <f t="shared" si="6"/>
        <v>0</v>
      </c>
      <c r="AR28" s="56">
        <f>Data!AM28/Data!AK28</f>
        <v>0.25626657799575597</v>
      </c>
      <c r="AS28" s="56">
        <f>Data!AI28/Data!AG28</f>
        <v>0.29219114623789022</v>
      </c>
      <c r="AT28" s="56"/>
      <c r="AV28" s="53">
        <f>'[1]Assets(BoP)'!$D97</f>
        <v>1488.6</v>
      </c>
      <c r="AW28" s="53">
        <v>27.1</v>
      </c>
      <c r="AX28" s="53">
        <f>'[1]Assets(BoP)'!$CI97</f>
        <v>64.628</v>
      </c>
      <c r="AY28" s="53">
        <f t="shared" si="7"/>
        <v>38.082000000000001</v>
      </c>
      <c r="AZ28" s="53">
        <f t="shared" si="23"/>
        <v>1434.9540000000002</v>
      </c>
      <c r="BA28" s="53">
        <v>279.06200000000001</v>
      </c>
      <c r="BB28" s="53">
        <f t="shared" si="24"/>
        <v>1155.8920000000003</v>
      </c>
      <c r="BC28" s="53">
        <f t="shared" si="28"/>
        <v>267.53000000000003</v>
      </c>
      <c r="BD28" s="53">
        <v>11.532</v>
      </c>
      <c r="BE28" s="96">
        <f t="shared" si="8"/>
        <v>4.1324150188846921E-2</v>
      </c>
      <c r="BF28" s="53">
        <v>284.892</v>
      </c>
      <c r="BG28" s="107">
        <f t="shared" si="25"/>
        <v>386.75114636501593</v>
      </c>
      <c r="BI28" s="84">
        <f>'[1]Assets(BoP)'!$Q97</f>
        <v>148.69999999999999</v>
      </c>
      <c r="BK28" s="78">
        <v>38.082000000000001</v>
      </c>
      <c r="BL28" s="81">
        <v>110.146</v>
      </c>
      <c r="BM28" s="78">
        <f t="shared" si="47"/>
        <v>0.4719999999999942</v>
      </c>
      <c r="BP28">
        <v>2005</v>
      </c>
      <c r="BQ28" s="56">
        <f>Data!AR28*WrightZucman!B49</f>
        <v>6.1106494238431223E-2</v>
      </c>
      <c r="BR28" s="67">
        <f>$BQ28*WrightZucman!C49/WrightZucman!$B49</f>
        <v>2.4257849609826611E-2</v>
      </c>
      <c r="BS28" s="73">
        <f>WrightZucman!C49*Data!AS28-BR28</f>
        <v>3.4005713134003662E-3</v>
      </c>
      <c r="BT28" s="67">
        <f>$BQ28*WrightZucman!D49/WrightZucman!$B49</f>
        <v>7.5689918053489739E-3</v>
      </c>
      <c r="BU28" s="67">
        <f>$BQ28*WrightZucman!E49/WrightZucman!$B49</f>
        <v>8.7475299770208223E-3</v>
      </c>
      <c r="BV28" s="67">
        <f>$BQ28*WrightZucman!F49/WrightZucman!$B49</f>
        <v>1.4422498924147506E-2</v>
      </c>
      <c r="BW28" s="67">
        <f>$BQ28*WrightZucman!G49/WrightZucman!$B49</f>
        <v>6.1096239220873169E-3</v>
      </c>
      <c r="BX28" s="71">
        <f t="shared" si="10"/>
        <v>0</v>
      </c>
      <c r="BY28" s="71"/>
      <c r="BZ28" s="67">
        <f>Data!AR28*WrightZucman!B49</f>
        <v>6.1106494238431223E-2</v>
      </c>
      <c r="CA28" s="67">
        <f>Data!D28*WrightZucman!B49</f>
        <v>0.10100553641310592</v>
      </c>
      <c r="CB28" s="73">
        <f>Data!Q28*WrightZucman!B49</f>
        <v>8.582102367465054E-2</v>
      </c>
      <c r="CC28" s="73">
        <f>WrightZucman!C49*Data!$Q28</f>
        <v>3.4068939997407524E-2</v>
      </c>
      <c r="CD28" s="73">
        <f>WrightZucman!D49*Data!$Q28</f>
        <v>1.0630271512312613E-2</v>
      </c>
      <c r="CE28" s="73">
        <f>WrightZucman!E49*Data!$Q28</f>
        <v>1.2285469598752952E-2</v>
      </c>
      <c r="CF28" s="73">
        <f>WrightZucman!F49*Data!$Q28</f>
        <v>2.0255680464784941E-2</v>
      </c>
      <c r="CG28" s="73">
        <f>WrightZucman!G49*Data!$Q28</f>
        <v>8.5806621013925152E-3</v>
      </c>
      <c r="CH28" s="71">
        <f t="shared" si="37"/>
        <v>0</v>
      </c>
      <c r="CI28" s="71"/>
      <c r="CJ28" s="53">
        <f t="shared" si="26"/>
        <v>374.4</v>
      </c>
      <c r="CK28" s="53">
        <v>319.5</v>
      </c>
      <c r="CL28" s="53">
        <v>54.9</v>
      </c>
      <c r="CM28" s="53">
        <f t="shared" si="11"/>
        <v>119.22114636501588</v>
      </c>
      <c r="CN28" s="56">
        <f t="shared" si="12"/>
        <v>0.36213364758214206</v>
      </c>
      <c r="CO28" s="56">
        <f>'[1]Assets(BoP)'!$BN97</f>
        <v>0.37616377694559128</v>
      </c>
      <c r="CQ28" s="54">
        <f t="shared" si="38"/>
        <v>0.66217952003226954</v>
      </c>
      <c r="CR28" s="54">
        <f t="shared" si="13"/>
        <v>0.81565590451139158</v>
      </c>
      <c r="CS28" s="54">
        <f t="shared" si="39"/>
        <v>0.49982956885245322</v>
      </c>
      <c r="CT28" s="54">
        <f t="shared" si="40"/>
        <v>0.59882280944148358</v>
      </c>
      <c r="CU28" s="54">
        <f t="shared" si="41"/>
        <v>0.66217952003226954</v>
      </c>
      <c r="CV28" s="54">
        <f t="shared" si="29"/>
        <v>5.3324344304012562E-7</v>
      </c>
      <c r="CW28" s="54">
        <f t="shared" si="35"/>
        <v>0.86474366564477034</v>
      </c>
      <c r="CX28" s="54">
        <f t="shared" si="42"/>
        <v>6.792201786588951E-7</v>
      </c>
      <c r="CY28" s="54">
        <f t="shared" si="30"/>
        <v>1.0294851475395736E-6</v>
      </c>
      <c r="CZ28" s="57">
        <f t="shared" si="14"/>
        <v>0.83997682502896864</v>
      </c>
      <c r="DA28" s="57">
        <f t="shared" si="15"/>
        <v>0.83997682502896875</v>
      </c>
      <c r="DB28" s="81">
        <f t="shared" si="31"/>
        <v>1.0294851475395737</v>
      </c>
    </row>
    <row r="29" spans="1:106" x14ac:dyDescent="0.2">
      <c r="A29" s="85">
        <v>2006</v>
      </c>
      <c r="B29" s="99">
        <v>913001.30500000098</v>
      </c>
      <c r="C29" s="99">
        <v>404474.56599999941</v>
      </c>
      <c r="D29" s="67">
        <v>0.44301641606087189</v>
      </c>
      <c r="E29" s="99">
        <v>861480.13300000143</v>
      </c>
      <c r="F29" s="99">
        <v>406061.84399999952</v>
      </c>
      <c r="G29" s="67">
        <v>0.47135369516408671</v>
      </c>
      <c r="H29" s="99">
        <v>884945.29300000169</v>
      </c>
      <c r="I29" s="99">
        <v>404411.68425680418</v>
      </c>
      <c r="J29" s="67">
        <v>0.45699060434101152</v>
      </c>
      <c r="K29" s="98">
        <f t="shared" si="32"/>
        <v>0</v>
      </c>
      <c r="L29" s="98">
        <f t="shared" si="33"/>
        <v>0</v>
      </c>
      <c r="M29" s="98">
        <f t="shared" si="34"/>
        <v>0</v>
      </c>
      <c r="N29" s="98"/>
      <c r="O29" s="53">
        <f>[11]TablePage!$D$7/1000</f>
        <v>671.005</v>
      </c>
      <c r="P29" s="109">
        <f>WrightZucman!O50</f>
        <v>365.20100000000002</v>
      </c>
      <c r="Q29" s="54">
        <f t="shared" si="43"/>
        <v>0.35244053788532392</v>
      </c>
      <c r="R29" s="110">
        <f t="shared" si="44"/>
        <v>433.75742841615772</v>
      </c>
      <c r="S29" s="53">
        <f t="shared" si="50"/>
        <v>426.58299999999997</v>
      </c>
      <c r="T29" s="54">
        <f t="shared" si="45"/>
        <v>0.39262507237688549</v>
      </c>
      <c r="U29" s="56">
        <f t="shared" si="46"/>
        <v>0.39262507237688549</v>
      </c>
      <c r="V29" s="53">
        <v>114.027</v>
      </c>
      <c r="W29" s="53">
        <f>[11]TablePage!$J$7/1000</f>
        <v>230.876</v>
      </c>
      <c r="X29" s="56">
        <f t="shared" si="48"/>
        <v>0.3440749323775531</v>
      </c>
      <c r="Y29" s="54">
        <f t="shared" si="0"/>
        <v>0.31223079892990435</v>
      </c>
      <c r="Z29" s="56">
        <f t="shared" si="51"/>
        <v>0.3328517688567717</v>
      </c>
      <c r="AA29" s="54">
        <f t="shared" si="1"/>
        <v>0.30363744944310916</v>
      </c>
      <c r="AB29" s="54">
        <f t="shared" si="49"/>
        <v>0.32956451353265942</v>
      </c>
      <c r="AD29" s="55">
        <f t="shared" si="2"/>
        <v>1507.9640997072634</v>
      </c>
      <c r="AE29" s="53">
        <f t="shared" si="3"/>
        <v>199.92132870889438</v>
      </c>
      <c r="AF29" s="53">
        <f t="shared" si="16"/>
        <v>1308.042770998369</v>
      </c>
      <c r="AG29" s="55">
        <f t="shared" si="17"/>
        <v>1507.9640997072634</v>
      </c>
      <c r="AH29" s="53">
        <f t="shared" si="18"/>
        <v>1065.7636712911058</v>
      </c>
      <c r="AI29" s="53">
        <f t="shared" si="4"/>
        <v>442.20042841615771</v>
      </c>
      <c r="AJ29" s="53"/>
      <c r="AK29" s="55">
        <f t="shared" si="19"/>
        <v>1707.8854284161575</v>
      </c>
      <c r="AL29" s="53">
        <f t="shared" si="5"/>
        <v>1265.6849999999999</v>
      </c>
      <c r="AM29" s="53">
        <f t="shared" si="20"/>
        <v>442.20042841615771</v>
      </c>
      <c r="AN29" s="55">
        <f t="shared" si="21"/>
        <v>1707.8854284161575</v>
      </c>
      <c r="AO29" s="53">
        <f t="shared" si="22"/>
        <v>1308.0427709983687</v>
      </c>
      <c r="AP29" s="53">
        <v>399.84265741778876</v>
      </c>
      <c r="AQ29" s="53">
        <f t="shared" si="6"/>
        <v>0</v>
      </c>
      <c r="AR29" s="56">
        <f>Data!AM29/Data!AK29</f>
        <v>0.2589169162396574</v>
      </c>
      <c r="AS29" s="56">
        <f>Data!AI29/Data!AG29</f>
        <v>0.29324333948135817</v>
      </c>
      <c r="AT29" s="56"/>
      <c r="AV29" s="53">
        <f>'[1]Assets(BoP)'!$D98</f>
        <v>1646.3</v>
      </c>
      <c r="AW29" s="53">
        <v>34.4</v>
      </c>
      <c r="AX29" s="53">
        <f>'[1]Assets(BoP)'!$CI98</f>
        <v>84.33</v>
      </c>
      <c r="AY29" s="53">
        <f t="shared" si="7"/>
        <v>44.883000000000003</v>
      </c>
      <c r="AZ29" s="53">
        <f t="shared" si="23"/>
        <v>1572.453</v>
      </c>
      <c r="BA29" s="53">
        <v>306.76799999999997</v>
      </c>
      <c r="BB29" s="53">
        <f t="shared" si="24"/>
        <v>1265.6849999999999</v>
      </c>
      <c r="BC29" s="53">
        <f t="shared" si="28"/>
        <v>298.32499999999999</v>
      </c>
      <c r="BD29" s="53">
        <v>8.4429999999999996</v>
      </c>
      <c r="BE29" s="96">
        <f t="shared" si="8"/>
        <v>2.7522427371824962E-2</v>
      </c>
      <c r="BF29" s="53">
        <v>312.55599999999998</v>
      </c>
      <c r="BG29" s="107">
        <f t="shared" si="25"/>
        <v>433.75742841615772</v>
      </c>
      <c r="BI29" s="84">
        <f>'[1]Assets(BoP)'!$Q98</f>
        <v>181.8</v>
      </c>
      <c r="BK29" s="78">
        <v>44.883000000000003</v>
      </c>
      <c r="BL29" s="81">
        <v>136.52199999999999</v>
      </c>
      <c r="BM29" s="78">
        <f t="shared" si="47"/>
        <v>0.39500000000001023</v>
      </c>
      <c r="BP29">
        <v>2006</v>
      </c>
      <c r="BQ29" s="56">
        <f>Data!AR29*WrightZucman!B50</f>
        <v>6.6632638937966213E-2</v>
      </c>
      <c r="BR29" s="67">
        <f>$BQ29*WrightZucman!C50/WrightZucman!$B50</f>
        <v>2.6838097004806202E-2</v>
      </c>
      <c r="BS29" s="73">
        <f>WrightZucman!C50*Data!AS29-BR29</f>
        <v>3.5581138929372674E-3</v>
      </c>
      <c r="BT29" s="67">
        <f>$BQ29*WrightZucman!D50/WrightZucman!$B50</f>
        <v>4.4395763688838052E-3</v>
      </c>
      <c r="BU29" s="67">
        <f>$BQ29*WrightZucman!E50/WrightZucman!$B50</f>
        <v>9.9489899687873577E-3</v>
      </c>
      <c r="BV29" s="67">
        <f>$BQ29*WrightZucman!F50/WrightZucman!$B50</f>
        <v>1.7234375910443377E-2</v>
      </c>
      <c r="BW29" s="67">
        <f>$BQ29*WrightZucman!G50/WrightZucman!$B50</f>
        <v>8.1715996850454699E-3</v>
      </c>
      <c r="BX29" s="71">
        <f t="shared" si="10"/>
        <v>0</v>
      </c>
      <c r="BY29" s="71"/>
      <c r="BZ29" s="67">
        <f>Data!AR29*WrightZucman!B50</f>
        <v>6.6632638937966213E-2</v>
      </c>
      <c r="CA29" s="67">
        <f>Data!D29*WrightZucman!B50</f>
        <v>0.11401090868721894</v>
      </c>
      <c r="CB29" s="73">
        <f>Data!Q29*WrightZucman!B50</f>
        <v>9.0701076812911702E-2</v>
      </c>
      <c r="CC29" s="73">
        <f>WrightZucman!C50*Data!$Q29</f>
        <v>3.6532311142765041E-2</v>
      </c>
      <c r="CD29" s="73">
        <f>WrightZucman!D50*Data!$Q29</f>
        <v>6.0431999042661402E-3</v>
      </c>
      <c r="CE29" s="73">
        <f>WrightZucman!E50*Data!$Q29</f>
        <v>1.3542673947072301E-2</v>
      </c>
      <c r="CF29" s="73">
        <f>WrightZucman!F50*Data!$Q29</f>
        <v>2.3459620963399166E-2</v>
      </c>
      <c r="CG29" s="73">
        <f>WrightZucman!G50*Data!$Q29</f>
        <v>1.1123270855409059E-2</v>
      </c>
      <c r="CH29" s="71">
        <f t="shared" si="37"/>
        <v>0</v>
      </c>
      <c r="CI29" s="71"/>
      <c r="CJ29" s="53">
        <f t="shared" si="26"/>
        <v>425.2</v>
      </c>
      <c r="CK29" s="53">
        <v>366</v>
      </c>
      <c r="CL29" s="53">
        <v>59.2</v>
      </c>
      <c r="CM29" s="53">
        <f t="shared" si="11"/>
        <v>135.43242841615771</v>
      </c>
      <c r="CN29" s="56">
        <f t="shared" si="12"/>
        <v>0.37178101821190018</v>
      </c>
      <c r="CO29" s="56">
        <f>'[1]Assets(BoP)'!$BN98</f>
        <v>0.37115442520691233</v>
      </c>
      <c r="CQ29" s="54">
        <f t="shared" si="38"/>
        <v>0.68715561610595088</v>
      </c>
      <c r="CR29" s="54">
        <f t="shared" si="13"/>
        <v>0.82587210805754119</v>
      </c>
      <c r="CS29" s="54">
        <f t="shared" si="39"/>
        <v>0.53015165700786537</v>
      </c>
      <c r="CT29" s="54">
        <f t="shared" si="40"/>
        <v>0.62960018067337542</v>
      </c>
      <c r="CU29" s="54">
        <f t="shared" si="41"/>
        <v>0.68715561610595088</v>
      </c>
      <c r="CV29" s="54">
        <f t="shared" si="29"/>
        <v>5.7128689812127357E-7</v>
      </c>
      <c r="CW29" s="54">
        <f t="shared" si="35"/>
        <v>0.93614960205456954</v>
      </c>
      <c r="CX29" s="54">
        <f t="shared" si="42"/>
        <v>6.7871072346704105E-7</v>
      </c>
      <c r="CY29" s="54">
        <f t="shared" si="30"/>
        <v>1.1118859039268773E-6</v>
      </c>
      <c r="CZ29" s="57">
        <f t="shared" si="14"/>
        <v>0.84194754043409037</v>
      </c>
      <c r="DA29" s="57">
        <f t="shared" si="15"/>
        <v>0.84194754043409048</v>
      </c>
      <c r="DB29" s="81">
        <f t="shared" si="31"/>
        <v>1.1118859039268771</v>
      </c>
    </row>
    <row r="30" spans="1:106" x14ac:dyDescent="0.2">
      <c r="A30" s="85">
        <v>2007</v>
      </c>
      <c r="B30" s="99">
        <v>920319.07400000049</v>
      </c>
      <c r="C30" s="99">
        <v>464895.46600000048</v>
      </c>
      <c r="D30" s="67">
        <v>0.5051459641919801</v>
      </c>
      <c r="E30" s="99">
        <v>812182.50000000058</v>
      </c>
      <c r="F30" s="99">
        <v>474243.76300000033</v>
      </c>
      <c r="G30" s="67">
        <v>0.58391280654286437</v>
      </c>
      <c r="H30" s="99">
        <v>880563.09300000092</v>
      </c>
      <c r="I30" s="99">
        <v>466945.24705547479</v>
      </c>
      <c r="J30" s="67">
        <v>0.53028028402216298</v>
      </c>
      <c r="K30" s="98">
        <f t="shared" si="32"/>
        <v>0</v>
      </c>
      <c r="L30" s="98">
        <f t="shared" si="33"/>
        <v>0</v>
      </c>
      <c r="M30" s="98">
        <f t="shared" si="34"/>
        <v>0</v>
      </c>
      <c r="N30" s="98"/>
      <c r="O30" s="53">
        <f>[12]TablePage!$D$7/1000</f>
        <v>634.17200000000003</v>
      </c>
      <c r="P30" s="109">
        <f>WrightZucman!O51</f>
        <v>419.55000000000007</v>
      </c>
      <c r="Q30" s="54">
        <f t="shared" si="43"/>
        <v>0.39816004600833993</v>
      </c>
      <c r="R30" s="110">
        <f t="shared" si="44"/>
        <v>488.63338870601177</v>
      </c>
      <c r="S30" s="53">
        <f t="shared" si="50"/>
        <v>486.88900000000001</v>
      </c>
      <c r="T30" s="54">
        <f t="shared" si="45"/>
        <v>0.43518974313896208</v>
      </c>
      <c r="U30" s="56">
        <f t="shared" si="46"/>
        <v>0.43518974313896208</v>
      </c>
      <c r="V30" s="53">
        <v>125.181</v>
      </c>
      <c r="W30" s="53">
        <f>[12]TablePage!$J$7/1000</f>
        <v>249.691</v>
      </c>
      <c r="X30" s="56">
        <f t="shared" si="48"/>
        <v>0.39372756917681639</v>
      </c>
      <c r="Y30" s="54">
        <f t="shared" si="0"/>
        <v>0.29836968180193058</v>
      </c>
      <c r="Z30" s="56">
        <f t="shared" si="51"/>
        <v>0.35575986835237372</v>
      </c>
      <c r="AA30" s="54">
        <f t="shared" si="1"/>
        <v>0.28870981061545897</v>
      </c>
      <c r="AB30" s="54">
        <f t="shared" si="49"/>
        <v>0.35108276484641904</v>
      </c>
      <c r="AD30" s="55">
        <f t="shared" si="2"/>
        <v>1386.9445121418057</v>
      </c>
      <c r="AE30" s="53">
        <f t="shared" si="3"/>
        <v>194.32587656420631</v>
      </c>
      <c r="AF30" s="53">
        <f t="shared" si="16"/>
        <v>1192.6186355775994</v>
      </c>
      <c r="AG30" s="55">
        <f t="shared" si="17"/>
        <v>1386.9445121418057</v>
      </c>
      <c r="AH30" s="53">
        <f t="shared" si="18"/>
        <v>886.84012343579388</v>
      </c>
      <c r="AI30" s="53">
        <f t="shared" si="4"/>
        <v>500.10438870601178</v>
      </c>
      <c r="AJ30" s="53"/>
      <c r="AK30" s="55">
        <f t="shared" si="19"/>
        <v>1581.270388706012</v>
      </c>
      <c r="AL30" s="53">
        <f t="shared" si="5"/>
        <v>1081.1660000000002</v>
      </c>
      <c r="AM30" s="53">
        <f t="shared" si="20"/>
        <v>500.10438870601178</v>
      </c>
      <c r="AN30" s="55">
        <f t="shared" si="21"/>
        <v>1581.270388706012</v>
      </c>
      <c r="AO30" s="53">
        <f t="shared" si="22"/>
        <v>1192.6186355775994</v>
      </c>
      <c r="AP30" s="53">
        <v>388.65175312841262</v>
      </c>
      <c r="AQ30" s="53">
        <f t="shared" si="6"/>
        <v>0</v>
      </c>
      <c r="AR30" s="56">
        <f>Data!AM30/Data!AK30</f>
        <v>0.31626747220332008</v>
      </c>
      <c r="AS30" s="56">
        <f>Data!AI30/Data!AG30</f>
        <v>0.36057995422882461</v>
      </c>
      <c r="AT30" s="56"/>
      <c r="AV30" s="53">
        <f>'[1]Assets(BoP)'!$D99</f>
        <v>1533.2</v>
      </c>
      <c r="AW30" s="53">
        <v>36.5</v>
      </c>
      <c r="AX30" s="53">
        <f>'[1]Assets(BoP)'!$CI99</f>
        <v>116.14700000000001</v>
      </c>
      <c r="AY30" s="53">
        <f t="shared" si="7"/>
        <v>54.923999999999999</v>
      </c>
      <c r="AZ30" s="53">
        <f t="shared" si="23"/>
        <v>1435.4770000000001</v>
      </c>
      <c r="BA30" s="53">
        <v>354.31099999999998</v>
      </c>
      <c r="BB30" s="53">
        <f t="shared" si="24"/>
        <v>1081.1660000000002</v>
      </c>
      <c r="BC30" s="53">
        <f t="shared" si="28"/>
        <v>342.84</v>
      </c>
      <c r="BD30" s="53">
        <v>11.471</v>
      </c>
      <c r="BE30" s="96">
        <f t="shared" si="8"/>
        <v>3.2375511909029077E-2</v>
      </c>
      <c r="BF30" s="53">
        <v>361.70800000000003</v>
      </c>
      <c r="BG30" s="107">
        <f t="shared" si="25"/>
        <v>488.63338870601177</v>
      </c>
      <c r="BI30" s="84">
        <f>'[1]Assets(BoP)'!$Q99</f>
        <v>163.69999999999999</v>
      </c>
      <c r="BK30" s="78">
        <v>54.923999999999999</v>
      </c>
      <c r="BL30" s="81">
        <v>108.339</v>
      </c>
      <c r="BM30" s="78">
        <f t="shared" si="47"/>
        <v>0.4369999999999834</v>
      </c>
      <c r="BP30">
        <v>2007</v>
      </c>
      <c r="BQ30" s="56">
        <f>Data!AR30*WrightZucman!B51</f>
        <v>8.2700683686048951E-2</v>
      </c>
      <c r="BR30" s="67">
        <f>$BQ30*WrightZucman!C51/WrightZucman!$B51</f>
        <v>3.5671020819118361E-2</v>
      </c>
      <c r="BS30" s="73">
        <f>WrightZucman!C51*Data!AS30-BR30</f>
        <v>4.997894528535031E-3</v>
      </c>
      <c r="BT30" s="67">
        <f>$BQ30*WrightZucman!D51/WrightZucman!$B51</f>
        <v>5.6393682744679714E-3</v>
      </c>
      <c r="BU30" s="67">
        <f>$BQ30*WrightZucman!E51/WrightZucman!$B51</f>
        <v>1.1695602028922681E-2</v>
      </c>
      <c r="BV30" s="67">
        <f>$BQ30*WrightZucman!F51/WrightZucman!$B51</f>
        <v>2.0014819817591113E-2</v>
      </c>
      <c r="BW30" s="67">
        <f>$BQ30*WrightZucman!G51/WrightZucman!$B51</f>
        <v>9.679872745948833E-3</v>
      </c>
      <c r="BX30" s="71">
        <f t="shared" si="10"/>
        <v>-1.3877787807814457E-17</v>
      </c>
      <c r="BY30" s="71"/>
      <c r="BZ30" s="67">
        <f>Data!AR30*WrightZucman!B51</f>
        <v>8.2700683686048951E-2</v>
      </c>
      <c r="CA30" s="67">
        <f>Data!D30*WrightZucman!B51</f>
        <v>0.13209046225616433</v>
      </c>
      <c r="CB30" s="73">
        <f>Data!Q30*WrightZucman!B51</f>
        <v>0.10411474753303052</v>
      </c>
      <c r="CC30" s="73">
        <f>WrightZucman!C51*Data!$Q30</f>
        <v>4.4907480341114636E-2</v>
      </c>
      <c r="CD30" s="73">
        <f>WrightZucman!D51*Data!$Q30</f>
        <v>7.0995955289915175E-3</v>
      </c>
      <c r="CE30" s="73">
        <f>WrightZucman!E51*Data!$Q30</f>
        <v>1.4723997411081859E-2</v>
      </c>
      <c r="CF30" s="73">
        <f>WrightZucman!F51*Data!$Q30</f>
        <v>2.5197348067137252E-2</v>
      </c>
      <c r="CG30" s="73">
        <f>WrightZucman!G51*Data!$Q30</f>
        <v>1.2186326184705262E-2</v>
      </c>
      <c r="CH30" s="71">
        <f t="shared" si="37"/>
        <v>0</v>
      </c>
      <c r="CI30" s="71"/>
      <c r="CJ30" s="53">
        <f t="shared" si="26"/>
        <v>386.09999999999997</v>
      </c>
      <c r="CK30" s="53">
        <v>328.2</v>
      </c>
      <c r="CL30" s="53">
        <v>57.9</v>
      </c>
      <c r="CM30" s="53">
        <f t="shared" si="11"/>
        <v>145.79338870601177</v>
      </c>
      <c r="CN30" s="56">
        <f t="shared" si="12"/>
        <v>0.38350012134561096</v>
      </c>
      <c r="CO30" s="56">
        <f>'[1]Assets(BoP)'!$BN99</f>
        <v>0.39025501866828161</v>
      </c>
      <c r="CQ30" s="54">
        <f t="shared" si="38"/>
        <v>0.75974344378981484</v>
      </c>
      <c r="CR30" s="54">
        <f t="shared" si="13"/>
        <v>0.83892485144063411</v>
      </c>
      <c r="CS30" s="54">
        <f t="shared" si="39"/>
        <v>0.58656302547434891</v>
      </c>
      <c r="CT30" s="54">
        <f t="shared" si="40"/>
        <v>0.71509168703722192</v>
      </c>
      <c r="CU30" s="54">
        <f t="shared" si="41"/>
        <v>0.75974344378981484</v>
      </c>
      <c r="CV30" s="54">
        <f t="shared" si="29"/>
        <v>5.8559119913584577E-7</v>
      </c>
      <c r="CW30" s="54">
        <f t="shared" si="35"/>
        <v>0.97055128438087757</v>
      </c>
      <c r="CX30" s="54">
        <f t="shared" si="42"/>
        <v>5.3288183174280826E-7</v>
      </c>
      <c r="CY30" s="54">
        <f t="shared" si="30"/>
        <v>1.1303629197950191E-6</v>
      </c>
      <c r="CZ30" s="57">
        <f t="shared" si="14"/>
        <v>0.85861918095904821</v>
      </c>
      <c r="DA30" s="57">
        <f t="shared" si="15"/>
        <v>0.85861918095904821</v>
      </c>
      <c r="DB30" s="81">
        <f t="shared" si="31"/>
        <v>1.1303629197950191</v>
      </c>
    </row>
    <row r="31" spans="1:106" x14ac:dyDescent="0.2">
      <c r="A31" s="85">
        <v>2008</v>
      </c>
      <c r="B31" s="99">
        <v>803745.25100000005</v>
      </c>
      <c r="C31" s="99">
        <v>432347.76099999959</v>
      </c>
      <c r="D31" s="67">
        <v>0.53791641127842826</v>
      </c>
      <c r="E31" s="99">
        <v>324515.92500000028</v>
      </c>
      <c r="F31" s="99">
        <v>424531.18999999948</v>
      </c>
      <c r="G31" s="67">
        <v>1.30819832647658</v>
      </c>
      <c r="H31" s="99">
        <v>694662.36200000055</v>
      </c>
      <c r="I31" s="99">
        <v>423945.55097666412</v>
      </c>
      <c r="J31" s="67">
        <v>0.61029008359699177</v>
      </c>
      <c r="K31" s="98">
        <f t="shared" si="32"/>
        <v>0</v>
      </c>
      <c r="L31" s="98">
        <f t="shared" si="33"/>
        <v>0</v>
      </c>
      <c r="M31" s="98">
        <f t="shared" si="34"/>
        <v>0</v>
      </c>
      <c r="N31" s="98"/>
      <c r="O31" s="53">
        <f>[13]TablePage!$D$7/1000</f>
        <v>493.29199999999997</v>
      </c>
      <c r="P31" s="109">
        <f>WrightZucman!O52</f>
        <v>449.15799999999996</v>
      </c>
      <c r="Q31" s="54">
        <f t="shared" si="43"/>
        <v>0.47658549525173749</v>
      </c>
      <c r="R31" s="110">
        <f t="shared" si="44"/>
        <v>560.15686629456047</v>
      </c>
      <c r="S31" s="53">
        <f t="shared" si="50"/>
        <v>546.24400000000003</v>
      </c>
      <c r="T31" s="54">
        <f t="shared" si="45"/>
        <v>0.53173617079761704</v>
      </c>
      <c r="U31" s="56">
        <f t="shared" si="46"/>
        <v>0.53173617079761704</v>
      </c>
      <c r="V31" s="53">
        <v>140.64400000000001</v>
      </c>
      <c r="W31" s="53">
        <f>[13]TablePage!$J$7/1000</f>
        <v>145.83099999999999</v>
      </c>
      <c r="X31" s="56">
        <f t="shared" si="48"/>
        <v>0.29562814722314573</v>
      </c>
      <c r="Y31" s="54">
        <f t="shared" si="0"/>
        <v>0.31312811972624338</v>
      </c>
      <c r="Z31" s="56">
        <f t="shared" si="51"/>
        <v>0.30396838028542633</v>
      </c>
      <c r="AA31" s="54">
        <f t="shared" si="1"/>
        <v>0.30316461919670684</v>
      </c>
      <c r="AB31" s="54">
        <f t="shared" si="49"/>
        <v>0.29928075334464199</v>
      </c>
      <c r="AD31" s="55">
        <f t="shared" si="2"/>
        <v>1177.3076957011076</v>
      </c>
      <c r="AE31" s="53">
        <f t="shared" si="3"/>
        <v>174.71117059345275</v>
      </c>
      <c r="AF31" s="53">
        <f t="shared" si="16"/>
        <v>1002.5965251076549</v>
      </c>
      <c r="AG31" s="55">
        <f t="shared" si="17"/>
        <v>1177.3076957011076</v>
      </c>
      <c r="AH31" s="53">
        <f t="shared" si="18"/>
        <v>604.50582940654715</v>
      </c>
      <c r="AI31" s="53">
        <f t="shared" si="4"/>
        <v>572.80186629456045</v>
      </c>
      <c r="AJ31" s="53"/>
      <c r="AK31" s="55">
        <f t="shared" si="19"/>
        <v>1352.0188662945602</v>
      </c>
      <c r="AL31" s="53">
        <f t="shared" si="5"/>
        <v>779.21699999999987</v>
      </c>
      <c r="AM31" s="53">
        <f t="shared" si="20"/>
        <v>572.80186629456045</v>
      </c>
      <c r="AN31" s="55">
        <f t="shared" si="21"/>
        <v>1352.0188662945602</v>
      </c>
      <c r="AO31" s="53">
        <f t="shared" si="22"/>
        <v>1002.5965251076548</v>
      </c>
      <c r="AP31" s="53">
        <v>349.4223411869055</v>
      </c>
      <c r="AQ31" s="53">
        <f t="shared" si="6"/>
        <v>0</v>
      </c>
      <c r="AR31" s="56">
        <f>Data!AM31/Data!AK31</f>
        <v>0.4236641074872145</v>
      </c>
      <c r="AS31" s="56">
        <f>Data!AI31/Data!AG31</f>
        <v>0.48653539629964515</v>
      </c>
      <c r="AT31" s="56"/>
      <c r="AV31" s="53">
        <f>'[1]Assets(BoP)'!$D100</f>
        <v>1285.8</v>
      </c>
      <c r="AW31" s="53">
        <v>35.4</v>
      </c>
      <c r="AX31" s="53">
        <f>'[1]Assets(BoP)'!$CI100</f>
        <v>143.91800000000001</v>
      </c>
      <c r="AY31" s="53">
        <f t="shared" si="7"/>
        <v>70.135999999999996</v>
      </c>
      <c r="AZ31" s="53">
        <f t="shared" si="23"/>
        <v>1176.6179999999999</v>
      </c>
      <c r="BA31" s="53">
        <v>397.40100000000001</v>
      </c>
      <c r="BB31" s="53">
        <f t="shared" si="24"/>
        <v>779.21699999999987</v>
      </c>
      <c r="BC31" s="53">
        <f t="shared" si="28"/>
        <v>384.75600000000003</v>
      </c>
      <c r="BD31" s="53">
        <v>12.645</v>
      </c>
      <c r="BE31" s="96">
        <f t="shared" si="8"/>
        <v>3.1819245547947787E-2</v>
      </c>
      <c r="BF31" s="53">
        <v>405.6</v>
      </c>
      <c r="BG31" s="107">
        <f t="shared" si="25"/>
        <v>560.15686629456047</v>
      </c>
      <c r="BI31" s="84">
        <f>'[1]Assets(BoP)'!$Q100</f>
        <v>183.7</v>
      </c>
      <c r="BK31" s="78">
        <v>70.135999999999996</v>
      </c>
      <c r="BL31" s="81">
        <v>113.211</v>
      </c>
      <c r="BM31" s="78">
        <f t="shared" si="47"/>
        <v>0.35299999999999443</v>
      </c>
      <c r="BP31">
        <v>2008</v>
      </c>
      <c r="BQ31" s="56">
        <f>Data!AR31*WrightZucman!B52</f>
        <v>9.9214773300359022E-2</v>
      </c>
      <c r="BR31" s="67">
        <f>$BQ31*WrightZucman!C52/WrightZucman!$B52</f>
        <v>3.6240251033636865E-2</v>
      </c>
      <c r="BS31" s="73">
        <f>WrightZucman!C52*Data!AS31-BR31</f>
        <v>5.3780134996201726E-3</v>
      </c>
      <c r="BT31" s="67">
        <f>$BQ31*WrightZucman!D52/WrightZucman!$B52</f>
        <v>3.2098481108629724E-3</v>
      </c>
      <c r="BU31" s="67">
        <f>$BQ31*WrightZucman!E52/WrightZucman!$B52</f>
        <v>1.7369777537919961E-2</v>
      </c>
      <c r="BV31" s="67">
        <f>$BQ31*WrightZucman!F52/WrightZucman!$B52</f>
        <v>2.9954494991676583E-2</v>
      </c>
      <c r="BW31" s="67">
        <f>$BQ31*WrightZucman!G52/WrightZucman!$B52</f>
        <v>1.2440401626262634E-2</v>
      </c>
      <c r="BX31" s="71">
        <f t="shared" si="10"/>
        <v>0</v>
      </c>
      <c r="BY31" s="71"/>
      <c r="BZ31" s="67">
        <f>Data!AR31*WrightZucman!B52</f>
        <v>9.9214773300359022E-2</v>
      </c>
      <c r="CA31" s="67">
        <f>Data!D31*WrightZucman!B52</f>
        <v>0.12597067784681887</v>
      </c>
      <c r="CB31" s="73">
        <f>Data!Q31*WrightZucman!B52</f>
        <v>0.11160804286699559</v>
      </c>
      <c r="CC31" s="73">
        <f>WrightZucman!C52*Data!$Q31</f>
        <v>4.0767149450899251E-2</v>
      </c>
      <c r="CD31" s="73">
        <f>WrightZucman!D52*Data!$Q31</f>
        <v>3.610801634038941E-3</v>
      </c>
      <c r="CE31" s="73">
        <f>WrightZucman!E52*Data!$Q31</f>
        <v>1.9539498116610959E-2</v>
      </c>
      <c r="CF31" s="73">
        <f>WrightZucman!F52*Data!$Q31</f>
        <v>3.3696217305957871E-2</v>
      </c>
      <c r="CG31" s="73">
        <f>WrightZucman!G52*Data!$Q31</f>
        <v>1.3994376359488567E-2</v>
      </c>
      <c r="CH31" s="71">
        <f t="shared" si="37"/>
        <v>0</v>
      </c>
      <c r="CI31" s="71"/>
      <c r="CJ31" s="53">
        <f t="shared" si="26"/>
        <v>249.4</v>
      </c>
      <c r="CK31" s="53">
        <v>202</v>
      </c>
      <c r="CL31" s="53">
        <v>47.4</v>
      </c>
      <c r="CM31" s="53">
        <f t="shared" si="11"/>
        <v>175.40086629456044</v>
      </c>
      <c r="CN31" s="56">
        <f t="shared" si="12"/>
        <v>0.36082399515921282</v>
      </c>
      <c r="CO31" s="56">
        <f>'[1]Assets(BoP)'!$BN100</f>
        <v>0.34682470915223224</v>
      </c>
      <c r="CQ31" s="54">
        <f t="shared" si="38"/>
        <v>0.80051290197228708</v>
      </c>
      <c r="CR31" s="54">
        <f t="shared" si="13"/>
        <v>0.78414199818445207</v>
      </c>
      <c r="CS31" s="54">
        <f t="shared" si="39"/>
        <v>0.63306113701318123</v>
      </c>
      <c r="CT31" s="54">
        <f t="shared" si="40"/>
        <v>0.81602521597562172</v>
      </c>
      <c r="CU31" s="54">
        <f t="shared" si="41"/>
        <v>0.80051290197228708</v>
      </c>
      <c r="CV31" s="54">
        <f t="shared" si="29"/>
        <v>2.7564240528194734E-7</v>
      </c>
      <c r="CW31" s="54">
        <f t="shared" si="35"/>
        <v>0.75787911484201687</v>
      </c>
      <c r="CX31" s="54">
        <f t="shared" si="42"/>
        <v>-2.0275063248542283E-7</v>
      </c>
      <c r="CY31" s="54">
        <f t="shared" si="30"/>
        <v>9.4517116471263897E-7</v>
      </c>
      <c r="CZ31" s="57">
        <f t="shared" si="14"/>
        <v>0.80184324610922231</v>
      </c>
      <c r="DA31" s="57">
        <f t="shared" si="15"/>
        <v>0.80184324610922231</v>
      </c>
      <c r="DB31" s="81">
        <f t="shared" si="31"/>
        <v>0.94517116471263896</v>
      </c>
    </row>
    <row r="32" spans="1:106" x14ac:dyDescent="0.2">
      <c r="A32" s="85">
        <v>2009</v>
      </c>
      <c r="B32" s="99">
        <v>797455.57600000047</v>
      </c>
      <c r="C32" s="99">
        <v>363778.65800000023</v>
      </c>
      <c r="D32" s="67">
        <v>0.45617419822267319</v>
      </c>
      <c r="E32" s="99">
        <v>663980.81400000106</v>
      </c>
      <c r="F32" s="99">
        <v>374539.09100000001</v>
      </c>
      <c r="G32" s="67">
        <v>0.56408119497259968</v>
      </c>
      <c r="H32" s="99">
        <v>728824.31600000197</v>
      </c>
      <c r="I32" s="99">
        <v>363955.86532170541</v>
      </c>
      <c r="J32" s="67">
        <v>0.49937393323976909</v>
      </c>
      <c r="K32" s="98">
        <f t="shared" si="32"/>
        <v>0</v>
      </c>
      <c r="L32" s="98">
        <f t="shared" si="33"/>
        <v>0</v>
      </c>
      <c r="M32" s="98">
        <f t="shared" si="34"/>
        <v>0</v>
      </c>
      <c r="N32" s="98"/>
      <c r="O32" s="53">
        <f>'[14]I.P 1'!$D$7/1000</f>
        <v>478.89600000000002</v>
      </c>
      <c r="P32" s="109">
        <f>WrightZucman!O53</f>
        <v>398.67900000000003</v>
      </c>
      <c r="Q32" s="54">
        <f t="shared" si="43"/>
        <v>0.45429621399880354</v>
      </c>
      <c r="R32" s="110">
        <f t="shared" si="44"/>
        <v>459.66583995782264</v>
      </c>
      <c r="S32" s="53">
        <f t="shared" si="50"/>
        <v>470.81399999999996</v>
      </c>
      <c r="T32" s="54">
        <f t="shared" si="45"/>
        <v>0.48975551784470506</v>
      </c>
      <c r="U32" s="56">
        <f t="shared" si="46"/>
        <v>0.48975551784470506</v>
      </c>
      <c r="V32" s="53">
        <v>109.42400000000001</v>
      </c>
      <c r="W32" s="53">
        <f>'[14]I.N 1'!$I$8/1000</f>
        <v>135.995</v>
      </c>
      <c r="X32" s="56">
        <f t="shared" si="48"/>
        <v>0.28397606160836592</v>
      </c>
      <c r="Y32" s="54">
        <f t="shared" si="0"/>
        <v>0.27446642536978372</v>
      </c>
      <c r="Z32" s="56">
        <f t="shared" si="51"/>
        <v>0.27965586986867219</v>
      </c>
      <c r="AA32" s="54">
        <f t="shared" si="1"/>
        <v>0.25795221770107979</v>
      </c>
      <c r="AB32" s="54">
        <f t="shared" si="49"/>
        <v>0.27175216692925391</v>
      </c>
      <c r="AD32" s="55">
        <f t="shared" si="2"/>
        <v>1255.9881462562782</v>
      </c>
      <c r="AE32" s="53">
        <f t="shared" si="3"/>
        <v>160.52769370154417</v>
      </c>
      <c r="AF32" s="53">
        <f t="shared" si="16"/>
        <v>1095.460452554734</v>
      </c>
      <c r="AG32" s="55">
        <f t="shared" si="17"/>
        <v>1255.9881462562782</v>
      </c>
      <c r="AH32" s="53">
        <f t="shared" si="18"/>
        <v>774.9713062984556</v>
      </c>
      <c r="AI32" s="53">
        <f t="shared" si="4"/>
        <v>481.01683995782264</v>
      </c>
      <c r="AJ32" s="53"/>
      <c r="AK32" s="55">
        <f t="shared" si="19"/>
        <v>1416.5158399578224</v>
      </c>
      <c r="AL32" s="53">
        <f t="shared" si="5"/>
        <v>935.4989999999998</v>
      </c>
      <c r="AM32" s="53">
        <f t="shared" si="20"/>
        <v>481.01683995782264</v>
      </c>
      <c r="AN32" s="55">
        <f t="shared" si="21"/>
        <v>1416.5158399578224</v>
      </c>
      <c r="AO32" s="53">
        <f t="shared" si="22"/>
        <v>1095.460452554734</v>
      </c>
      <c r="AP32" s="53">
        <v>321.05538740308833</v>
      </c>
      <c r="AQ32" s="53">
        <f t="shared" si="6"/>
        <v>0</v>
      </c>
      <c r="AR32" s="56">
        <f>Data!AM32/Data!AK32</f>
        <v>0.33957745221694463</v>
      </c>
      <c r="AS32" s="56">
        <f>Data!AI32/Data!AG32</f>
        <v>0.3829788054860141</v>
      </c>
      <c r="AT32" s="56"/>
      <c r="AV32" s="53">
        <f>'[1]Assets(BoP)'!$D101</f>
        <v>1386.8</v>
      </c>
      <c r="AW32" s="53">
        <v>47.6</v>
      </c>
      <c r="AX32" s="53">
        <f>'[1]Assets(BoP)'!$CI101</f>
        <v>108.592</v>
      </c>
      <c r="AY32" s="53">
        <f t="shared" si="7"/>
        <v>59.744999999999997</v>
      </c>
      <c r="AZ32" s="53">
        <f t="shared" si="23"/>
        <v>1290.3529999999998</v>
      </c>
      <c r="BA32" s="53">
        <v>354.85399999999998</v>
      </c>
      <c r="BB32" s="53">
        <f t="shared" si="24"/>
        <v>935.4989999999998</v>
      </c>
      <c r="BC32" s="53">
        <f t="shared" si="28"/>
        <v>333.50299999999999</v>
      </c>
      <c r="BD32" s="53">
        <v>21.350999999999999</v>
      </c>
      <c r="BE32" s="96">
        <f t="shared" si="8"/>
        <v>6.0168407288631383E-2</v>
      </c>
      <c r="BF32" s="53">
        <v>361.39</v>
      </c>
      <c r="BG32" s="107">
        <f t="shared" si="25"/>
        <v>459.66583995782264</v>
      </c>
      <c r="BI32" s="84">
        <f>'[1]Assets(BoP)'!$Q101</f>
        <v>148.19999999999999</v>
      </c>
      <c r="BK32" s="78">
        <v>59.744999999999997</v>
      </c>
      <c r="BL32" s="81">
        <v>88.218000000000004</v>
      </c>
      <c r="BM32" s="78">
        <f t="shared" si="47"/>
        <v>0.23699999999998056</v>
      </c>
      <c r="BP32">
        <v>2009</v>
      </c>
      <c r="BQ32" s="56">
        <f>Data!AR32*WrightZucman!B53</f>
        <v>0.10273802409696935</v>
      </c>
      <c r="BR32" s="67">
        <f>$BQ32*WrightZucman!C53/WrightZucman!$B53</f>
        <v>3.7628049399612125E-2</v>
      </c>
      <c r="BS32" s="73">
        <f>WrightZucman!C53*Data!AS32-BR32</f>
        <v>4.8092364618344124E-3</v>
      </c>
      <c r="BT32" s="67">
        <f>$BQ32*WrightZucman!D53/WrightZucman!$B53</f>
        <v>1.2525931920924823E-2</v>
      </c>
      <c r="BU32" s="67">
        <f>$BQ32*WrightZucman!E53/WrightZucman!$B53</f>
        <v>1.9277806144858665E-2</v>
      </c>
      <c r="BV32" s="67">
        <f>$BQ32*WrightZucman!F53/WrightZucman!$B53</f>
        <v>2.1737679080234083E-2</v>
      </c>
      <c r="BW32" s="67">
        <f>$BQ32*WrightZucman!G53/WrightZucman!$B53</f>
        <v>1.1568557551339653E-2</v>
      </c>
      <c r="BX32" s="71">
        <f t="shared" si="10"/>
        <v>0</v>
      </c>
      <c r="BY32" s="71"/>
      <c r="BZ32" s="67">
        <f>Data!AR32*WrightZucman!B53</f>
        <v>0.10273802409696935</v>
      </c>
      <c r="CA32" s="67">
        <f>Data!D32*WrightZucman!B53</f>
        <v>0.13801398020818909</v>
      </c>
      <c r="CB32" s="73">
        <f>Data!Q32*WrightZucman!B53</f>
        <v>0.13744580235307524</v>
      </c>
      <c r="CC32" s="73">
        <f>WrightZucman!C53*Data!$Q32</f>
        <v>5.0339856992279865E-2</v>
      </c>
      <c r="CD32" s="73">
        <f>WrightZucman!D53*Data!$Q32</f>
        <v>1.6757542090419623E-2</v>
      </c>
      <c r="CE32" s="73">
        <f>WrightZucman!E53*Data!$Q32</f>
        <v>2.5790388285901491E-2</v>
      </c>
      <c r="CF32" s="73">
        <f>WrightZucman!F53*Data!$Q32</f>
        <v>2.9081275104691908E-2</v>
      </c>
      <c r="CG32" s="73">
        <f>WrightZucman!G53*Data!$Q32</f>
        <v>1.5476739879782354E-2</v>
      </c>
      <c r="CH32" s="71">
        <f t="shared" si="37"/>
        <v>0</v>
      </c>
      <c r="CI32" s="71"/>
      <c r="CJ32" s="53">
        <f t="shared" si="26"/>
        <v>197.5</v>
      </c>
      <c r="CK32" s="53">
        <v>153</v>
      </c>
      <c r="CL32" s="53">
        <v>44.5</v>
      </c>
      <c r="CM32" s="53">
        <f t="shared" si="11"/>
        <v>126.16283995782267</v>
      </c>
      <c r="CN32" s="56">
        <f t="shared" si="12"/>
        <v>0.25769577596935445</v>
      </c>
      <c r="CO32" s="56">
        <f>'[1]Assets(BoP)'!$BN101</f>
        <v>0.26033311968775652</v>
      </c>
      <c r="CQ32" s="54">
        <f t="shared" si="38"/>
        <v>0.69871280442875705</v>
      </c>
      <c r="CR32" s="54">
        <f t="shared" si="13"/>
        <v>0.82882545242066308</v>
      </c>
      <c r="CS32" s="54">
        <f t="shared" si="39"/>
        <v>0.51191503144311234</v>
      </c>
      <c r="CT32" s="54">
        <f t="shared" si="40"/>
        <v>0.61795320176095447</v>
      </c>
      <c r="CU32" s="54">
        <f t="shared" si="41"/>
        <v>0.69871280442875705</v>
      </c>
      <c r="CV32" s="54">
        <f t="shared" si="29"/>
        <v>5.2865213416155843E-7</v>
      </c>
      <c r="CW32" s="54">
        <f t="shared" si="35"/>
        <v>0.81480731967023368</v>
      </c>
      <c r="CX32" s="54">
        <f t="shared" si="42"/>
        <v>6.0439369508202411E-7</v>
      </c>
      <c r="CY32" s="54">
        <f t="shared" si="30"/>
        <v>9.3945026199022276E-7</v>
      </c>
      <c r="CZ32" s="57">
        <f t="shared" si="14"/>
        <v>0.86732353232204817</v>
      </c>
      <c r="DA32" s="57">
        <f t="shared" si="15"/>
        <v>0.86732353232204806</v>
      </c>
      <c r="DB32" s="81">
        <f t="shared" si="31"/>
        <v>0.93945026199022275</v>
      </c>
    </row>
    <row r="33" spans="1:106" x14ac:dyDescent="0.2">
      <c r="A33" s="85">
        <v>2010</v>
      </c>
      <c r="B33" s="99">
        <v>968348.81999999972</v>
      </c>
      <c r="C33" s="99">
        <v>484185.63000000012</v>
      </c>
      <c r="D33" s="67">
        <v>0.5000115867337972</v>
      </c>
      <c r="E33" s="99">
        <v>926337.95499999914</v>
      </c>
      <c r="F33" s="99">
        <v>481275.50099999987</v>
      </c>
      <c r="G33" s="67">
        <v>0.51954634742349548</v>
      </c>
      <c r="H33" s="99">
        <v>933680.9999999993</v>
      </c>
      <c r="I33" s="99">
        <v>481537.11021202459</v>
      </c>
      <c r="J33" s="67">
        <v>0.5157405047462944</v>
      </c>
      <c r="K33" s="98">
        <f t="shared" si="32"/>
        <v>0</v>
      </c>
      <c r="L33" s="98">
        <f t="shared" si="33"/>
        <v>0</v>
      </c>
      <c r="M33" s="98">
        <f t="shared" si="34"/>
        <v>0</v>
      </c>
      <c r="N33" s="98"/>
      <c r="O33" s="53">
        <f>'[15]I.P 1'!$D$8/1000</f>
        <v>705.05700000000002</v>
      </c>
      <c r="P33" s="109">
        <f>WrightZucman!O54</f>
        <v>460.17300000000006</v>
      </c>
      <c r="Q33" s="54">
        <f t="shared" si="43"/>
        <v>0.39492031616075801</v>
      </c>
      <c r="R33" s="110">
        <f t="shared" si="44"/>
        <v>573.94621081978232</v>
      </c>
      <c r="S33" s="53">
        <f t="shared" si="50"/>
        <v>566.16100000000006</v>
      </c>
      <c r="T33" s="54">
        <f t="shared" si="45"/>
        <v>0.44874493352671813</v>
      </c>
      <c r="U33" s="56">
        <f t="shared" si="46"/>
        <v>0.44874493352671813</v>
      </c>
      <c r="V33" s="53">
        <v>130</v>
      </c>
      <c r="W33" s="53">
        <f>'[15]I.P 1'!$J$8/1000</f>
        <v>202.85499999999999</v>
      </c>
      <c r="X33" s="56">
        <f t="shared" si="48"/>
        <v>0.2877143266430941</v>
      </c>
      <c r="Y33" s="54">
        <f t="shared" si="0"/>
        <v>0.2825024501654812</v>
      </c>
      <c r="Z33" s="56">
        <f t="shared" si="51"/>
        <v>0.28565605073676442</v>
      </c>
      <c r="AA33" s="54">
        <f t="shared" si="1"/>
        <v>0.27032233825261642</v>
      </c>
      <c r="AB33" s="54">
        <f t="shared" si="49"/>
        <v>0.28066189283803417</v>
      </c>
      <c r="AD33" s="55">
        <f t="shared" si="2"/>
        <v>1568.1771410843903</v>
      </c>
      <c r="AE33" s="53">
        <f t="shared" si="3"/>
        <v>195.3140697353922</v>
      </c>
      <c r="AF33" s="53">
        <f t="shared" si="16"/>
        <v>1372.8630713489981</v>
      </c>
      <c r="AG33" s="55">
        <f t="shared" si="17"/>
        <v>1568.1771410843903</v>
      </c>
      <c r="AH33" s="53">
        <f t="shared" si="18"/>
        <v>975.67593026460804</v>
      </c>
      <c r="AI33" s="53">
        <f t="shared" si="4"/>
        <v>592.50121081978227</v>
      </c>
      <c r="AJ33" s="53"/>
      <c r="AK33" s="55">
        <f t="shared" si="19"/>
        <v>1763.4912108197825</v>
      </c>
      <c r="AL33" s="53">
        <f t="shared" si="5"/>
        <v>1170.9900000000002</v>
      </c>
      <c r="AM33" s="53">
        <f t="shared" si="20"/>
        <v>592.50121081978227</v>
      </c>
      <c r="AN33" s="55">
        <f t="shared" si="21"/>
        <v>1763.4912108197825</v>
      </c>
      <c r="AO33" s="53">
        <f t="shared" si="22"/>
        <v>1372.8630713489981</v>
      </c>
      <c r="AP33" s="53">
        <v>390.62813947078439</v>
      </c>
      <c r="AQ33" s="53">
        <f t="shared" si="6"/>
        <v>0</v>
      </c>
      <c r="AR33" s="56">
        <f>Data!AM33/Data!AK33</f>
        <v>0.33598194716510671</v>
      </c>
      <c r="AS33" s="56">
        <f>Data!AI33/Data!AG33</f>
        <v>0.37782798594428513</v>
      </c>
      <c r="AT33" s="56"/>
      <c r="AV33" s="53">
        <f>'[1]Assets(BoP)'!$D102</f>
        <v>1728.7</v>
      </c>
      <c r="AW33" s="53">
        <v>72</v>
      </c>
      <c r="AX33" s="53">
        <f>'[1]Assets(BoP)'!$CI102</f>
        <v>115.377</v>
      </c>
      <c r="AY33" s="53">
        <f t="shared" si="7"/>
        <v>60.027000000000001</v>
      </c>
      <c r="AZ33" s="53">
        <f t="shared" si="23"/>
        <v>1601.3500000000001</v>
      </c>
      <c r="BA33" s="53">
        <v>430.36</v>
      </c>
      <c r="BB33" s="53">
        <f t="shared" si="24"/>
        <v>1170.9900000000002</v>
      </c>
      <c r="BC33" s="53">
        <f t="shared" si="28"/>
        <v>411.80500000000001</v>
      </c>
      <c r="BD33" s="53">
        <v>18.555</v>
      </c>
      <c r="BE33" s="96">
        <f t="shared" si="8"/>
        <v>4.3115066455990329E-2</v>
      </c>
      <c r="BF33" s="53">
        <v>436.161</v>
      </c>
      <c r="BG33" s="107">
        <f t="shared" si="25"/>
        <v>573.94621081978232</v>
      </c>
      <c r="BI33" s="84">
        <f>'[1]Assets(BoP)'!$Q102</f>
        <v>194.1</v>
      </c>
      <c r="BK33" s="78">
        <v>60.027000000000001</v>
      </c>
      <c r="BL33" s="81">
        <v>133.917</v>
      </c>
      <c r="BM33" s="78">
        <f t="shared" si="47"/>
        <v>0.15599999999997749</v>
      </c>
      <c r="BP33">
        <v>2010</v>
      </c>
      <c r="BQ33" s="56">
        <f>Data!AR33*WrightZucman!B54</f>
        <v>8.9138276221217644E-2</v>
      </c>
      <c r="BR33" s="67">
        <f>$BQ33*WrightZucman!C54/WrightZucman!$B54</f>
        <v>3.7521645656659559E-2</v>
      </c>
      <c r="BS33" s="73">
        <f>WrightZucman!C54*Data!AS33-BR33</f>
        <v>4.6732637049560835E-3</v>
      </c>
      <c r="BT33" s="67">
        <f>$BQ33*WrightZucman!D54/WrightZucman!$B54</f>
        <v>4.107660455417615E-3</v>
      </c>
      <c r="BU33" s="67">
        <f>$BQ33*WrightZucman!E54/WrightZucman!$B54</f>
        <v>1.5783754661432281E-2</v>
      </c>
      <c r="BV33" s="67">
        <f>$BQ33*WrightZucman!F54/WrightZucman!$B54</f>
        <v>2.0215588817917338E-2</v>
      </c>
      <c r="BW33" s="67">
        <f>$BQ33*WrightZucman!G54/WrightZucman!$B54</f>
        <v>1.1509626629790845E-2</v>
      </c>
      <c r="BX33" s="71">
        <f t="shared" si="10"/>
        <v>0</v>
      </c>
      <c r="BY33" s="71"/>
      <c r="BZ33" s="67">
        <f>Data!AR33*WrightZucman!B54</f>
        <v>8.9138276221217644E-2</v>
      </c>
      <c r="CA33" s="67">
        <f>Data!D33*WrightZucman!B54</f>
        <v>0.13265644570535234</v>
      </c>
      <c r="CB33" s="73">
        <f>Data!Q33*WrightZucman!B54</f>
        <v>0.10477502295684116</v>
      </c>
      <c r="CC33" s="73">
        <f>WrightZucman!C54*Data!$Q33</f>
        <v>4.4103739175956683E-2</v>
      </c>
      <c r="CD33" s="73">
        <f>WrightZucman!D54*Data!$Q33</f>
        <v>4.828231336302705E-3</v>
      </c>
      <c r="CE33" s="73">
        <f>WrightZucman!E54*Data!$Q33</f>
        <v>1.8552560438711674E-2</v>
      </c>
      <c r="CF33" s="73">
        <f>WrightZucman!F54*Data!$Q33</f>
        <v>2.3761832427932686E-2</v>
      </c>
      <c r="CG33" s="73">
        <f>WrightZucman!G54*Data!$Q33</f>
        <v>1.3528659577937406E-2</v>
      </c>
      <c r="CH33" s="71">
        <f t="shared" si="37"/>
        <v>0</v>
      </c>
      <c r="CI33" s="71"/>
      <c r="CJ33" s="53">
        <f t="shared" si="26"/>
        <v>265.5</v>
      </c>
      <c r="CK33" s="53">
        <v>219.4</v>
      </c>
      <c r="CL33" s="53">
        <v>46.1</v>
      </c>
      <c r="CM33" s="53">
        <f t="shared" si="11"/>
        <v>162.14121081978232</v>
      </c>
      <c r="CN33" s="56">
        <f t="shared" si="12"/>
        <v>0.27269955645704003</v>
      </c>
      <c r="CO33" s="56">
        <f>'[1]Assets(BoP)'!$BN102</f>
        <v>0.26848984795363273</v>
      </c>
      <c r="CQ33" s="54">
        <f t="shared" si="38"/>
        <v>0.7430474335279792</v>
      </c>
      <c r="CR33" s="54">
        <f t="shared" si="13"/>
        <v>0.77666170397070844</v>
      </c>
      <c r="CS33" s="54">
        <f t="shared" si="39"/>
        <v>0.60210334844874835</v>
      </c>
      <c r="CT33" s="54">
        <f t="shared" si="40"/>
        <v>0.72263440977659987</v>
      </c>
      <c r="CU33" s="54">
        <f t="shared" si="41"/>
        <v>0.7430474335279792</v>
      </c>
      <c r="CV33" s="54">
        <f t="shared" si="29"/>
        <v>5.9071002295023825E-7</v>
      </c>
      <c r="CW33" s="54">
        <f t="shared" si="35"/>
        <v>0.83853763981224216</v>
      </c>
      <c r="CX33" s="54">
        <f t="shared" si="42"/>
        <v>6.3124322430668615E-7</v>
      </c>
      <c r="CY33" s="54">
        <f t="shared" si="30"/>
        <v>1.0458577556701498E-6</v>
      </c>
      <c r="CZ33" s="57">
        <f t="shared" si="14"/>
        <v>0.80177025533929913</v>
      </c>
      <c r="DA33" s="57">
        <f t="shared" si="15"/>
        <v>0.80177025533929902</v>
      </c>
      <c r="DB33" s="81">
        <f t="shared" si="31"/>
        <v>1.0458577556701496</v>
      </c>
    </row>
    <row r="34" spans="1:106" x14ac:dyDescent="0.2">
      <c r="A34" s="85">
        <v>2011</v>
      </c>
      <c r="B34" s="99">
        <v>1095760.014</v>
      </c>
      <c r="C34" s="99">
        <v>553897.91399999999</v>
      </c>
      <c r="D34" s="67">
        <v>0.50549199361457997</v>
      </c>
      <c r="E34" s="99">
        <v>1041126.737999997</v>
      </c>
      <c r="F34" s="99">
        <v>552980.50499999954</v>
      </c>
      <c r="G34" s="67">
        <v>0.53113658963583443</v>
      </c>
      <c r="H34" s="99">
        <v>1057248.058999998</v>
      </c>
      <c r="I34" s="99">
        <v>553534.95179451397</v>
      </c>
      <c r="J34" s="67">
        <v>0.5235620411713755</v>
      </c>
      <c r="K34" s="98">
        <f t="shared" si="32"/>
        <v>0</v>
      </c>
      <c r="L34" s="98">
        <f t="shared" si="33"/>
        <v>0</v>
      </c>
      <c r="M34" s="98">
        <f t="shared" si="34"/>
        <v>0</v>
      </c>
      <c r="N34" s="98"/>
      <c r="O34" s="53">
        <f>'[16]I.P 1'!$D$8/1000</f>
        <v>846.79700000000003</v>
      </c>
      <c r="P34" s="109">
        <f>WrightZucman!O55</f>
        <v>561.08799999999997</v>
      </c>
      <c r="Q34" s="54">
        <f t="shared" si="43"/>
        <v>0.39853255059894804</v>
      </c>
      <c r="R34" s="110">
        <f t="shared" si="44"/>
        <v>622.99541091110484</v>
      </c>
      <c r="S34" s="53">
        <f t="shared" si="50"/>
        <v>630.81600000000003</v>
      </c>
      <c r="T34" s="54">
        <f t="shared" si="45"/>
        <v>0.42386625913037485</v>
      </c>
      <c r="U34" s="56">
        <f t="shared" si="46"/>
        <v>0.42386625913037485</v>
      </c>
      <c r="V34" s="53">
        <v>163.87799999999999</v>
      </c>
      <c r="W34" s="53">
        <f>'[16]I.P 1'!$J$8/1000</f>
        <v>217.63399999999999</v>
      </c>
      <c r="X34" s="56">
        <f t="shared" si="48"/>
        <v>0.25700846838144203</v>
      </c>
      <c r="Y34" s="54">
        <f t="shared" si="0"/>
        <v>0.29207183186951063</v>
      </c>
      <c r="Z34" s="56">
        <f t="shared" si="51"/>
        <v>0.27098236006492005</v>
      </c>
      <c r="AA34" s="54">
        <f t="shared" si="1"/>
        <v>0.2801898304046459</v>
      </c>
      <c r="AB34" s="54">
        <f t="shared" si="49"/>
        <v>0.2664787211064954</v>
      </c>
      <c r="AD34" s="55">
        <f t="shared" si="2"/>
        <v>1630.1646028463738</v>
      </c>
      <c r="AE34" s="53">
        <f t="shared" si="3"/>
        <v>212.1548080647313</v>
      </c>
      <c r="AF34" s="53">
        <f t="shared" si="16"/>
        <v>1418.0097947816425</v>
      </c>
      <c r="AG34" s="55">
        <f t="shared" si="17"/>
        <v>1630.1646028463738</v>
      </c>
      <c r="AH34" s="53">
        <f t="shared" si="18"/>
        <v>988.46619193526897</v>
      </c>
      <c r="AI34" s="53">
        <f t="shared" si="4"/>
        <v>641.69841091110482</v>
      </c>
      <c r="AJ34" s="53"/>
      <c r="AK34" s="55">
        <f t="shared" si="19"/>
        <v>1842.319410911105</v>
      </c>
      <c r="AL34" s="53">
        <f t="shared" si="5"/>
        <v>1200.6210000000001</v>
      </c>
      <c r="AM34" s="53">
        <f t="shared" si="20"/>
        <v>641.69841091110482</v>
      </c>
      <c r="AN34" s="55">
        <f t="shared" si="21"/>
        <v>1842.319410911105</v>
      </c>
      <c r="AO34" s="53">
        <f t="shared" si="22"/>
        <v>1418.0097947816425</v>
      </c>
      <c r="AP34" s="53">
        <v>424.3096161294626</v>
      </c>
      <c r="AQ34" s="53">
        <f t="shared" si="6"/>
        <v>0</v>
      </c>
      <c r="AR34" s="56">
        <f>Data!AM34/Data!AK34</f>
        <v>0.34831007430669025</v>
      </c>
      <c r="AS34" s="56">
        <f>Data!AI34/Data!AG34</f>
        <v>0.39364025558563687</v>
      </c>
      <c r="AT34" s="56"/>
      <c r="AV34" s="53">
        <f>'[1]Assets(BoP)'!$D103</f>
        <v>1809.8</v>
      </c>
      <c r="AW34" s="53">
        <v>76.5</v>
      </c>
      <c r="AX34" s="53">
        <f>'[1]Assets(BoP)'!$CI103</f>
        <v>147.47399999999999</v>
      </c>
      <c r="AY34" s="53">
        <f t="shared" si="7"/>
        <v>74.534000000000006</v>
      </c>
      <c r="AZ34" s="53">
        <f t="shared" si="23"/>
        <v>1660.3600000000001</v>
      </c>
      <c r="BA34" s="53">
        <v>459.73899999999998</v>
      </c>
      <c r="BB34" s="53">
        <f t="shared" si="24"/>
        <v>1200.6210000000001</v>
      </c>
      <c r="BC34" s="53">
        <f t="shared" si="28"/>
        <v>441.036</v>
      </c>
      <c r="BD34" s="53">
        <v>18.702999999999999</v>
      </c>
      <c r="BE34" s="96">
        <f t="shared" si="8"/>
        <v>4.068177813933558E-2</v>
      </c>
      <c r="BF34" s="53">
        <v>466.93799999999999</v>
      </c>
      <c r="BG34" s="107">
        <f t="shared" si="25"/>
        <v>622.99541091110484</v>
      </c>
      <c r="BI34" s="84">
        <f>'[1]Assets(BoP)'!$Q103</f>
        <v>228.5</v>
      </c>
      <c r="BK34" s="78">
        <v>74.534000000000006</v>
      </c>
      <c r="BL34" s="81">
        <v>153.82499999999999</v>
      </c>
      <c r="BM34" s="78">
        <f t="shared" si="47"/>
        <v>0.14100000000001955</v>
      </c>
      <c r="BP34">
        <v>2011</v>
      </c>
      <c r="BQ34" s="56">
        <f>Data!AR34*WrightZucman!B55</f>
        <v>9.5993106304787731E-2</v>
      </c>
      <c r="BR34" s="67">
        <f>$BQ34*WrightZucman!C55/WrightZucman!$B55</f>
        <v>3.9017025476082351E-2</v>
      </c>
      <c r="BS34" s="73">
        <f>WrightZucman!C55*Data!AS34-BR34</f>
        <v>5.0777998348643244E-3</v>
      </c>
      <c r="BT34" s="67">
        <f>$BQ34*WrightZucman!D55/WrightZucman!$B55</f>
        <v>1.0155277791688908E-2</v>
      </c>
      <c r="BU34" s="67">
        <f>$BQ34*WrightZucman!E55/WrightZucman!$B55</f>
        <v>1.6660391550421597E-2</v>
      </c>
      <c r="BV34" s="67">
        <f>$BQ34*WrightZucman!F55/WrightZucman!$B55</f>
        <v>1.5312065652533685E-2</v>
      </c>
      <c r="BW34" s="67">
        <f>$BQ34*WrightZucman!G55/WrightZucman!$B55</f>
        <v>1.4848345834061185E-2</v>
      </c>
      <c r="BX34" s="71">
        <f t="shared" si="10"/>
        <v>0</v>
      </c>
      <c r="BY34" s="71"/>
      <c r="BZ34" s="67">
        <f>Data!AR34*WrightZucman!B55</f>
        <v>9.5993106304787731E-2</v>
      </c>
      <c r="CA34" s="67">
        <f>Data!D34*WrightZucman!B55</f>
        <v>0.13931192422685382</v>
      </c>
      <c r="CB34" s="73">
        <f>Data!Q34*WrightZucman!B55</f>
        <v>0.10983425492849203</v>
      </c>
      <c r="CC34" s="73">
        <f>WrightZucman!C55*Data!$Q34</f>
        <v>4.4642850801024231E-2</v>
      </c>
      <c r="CD34" s="73">
        <f>WrightZucman!D55*Data!$Q34</f>
        <v>1.1619556995067068E-2</v>
      </c>
      <c r="CE34" s="73">
        <f>WrightZucman!E55*Data!$Q34</f>
        <v>1.906263650795342E-2</v>
      </c>
      <c r="CF34" s="73">
        <f>WrightZucman!F55*Data!$Q34</f>
        <v>1.751989686657646E-2</v>
      </c>
      <c r="CG34" s="73">
        <f>WrightZucman!G55*Data!$Q34</f>
        <v>1.6989313757870848E-2</v>
      </c>
      <c r="CH34" s="71">
        <f t="shared" si="37"/>
        <v>0</v>
      </c>
      <c r="CI34" s="71"/>
      <c r="CJ34" s="53">
        <f t="shared" si="26"/>
        <v>272.39999999999998</v>
      </c>
      <c r="CK34" s="53">
        <v>224</v>
      </c>
      <c r="CL34" s="53">
        <v>48.4</v>
      </c>
      <c r="CM34" s="53">
        <f t="shared" si="11"/>
        <v>181.9594109111049</v>
      </c>
      <c r="CN34" s="56">
        <f t="shared" si="12"/>
        <v>0.27871995878070455</v>
      </c>
      <c r="CO34" s="56">
        <f>'[1]Assets(BoP)'!$BN103</f>
        <v>0.25935783150837627</v>
      </c>
      <c r="CQ34" s="54">
        <f t="shared" si="38"/>
        <v>0.86364591498413157</v>
      </c>
      <c r="CR34" s="54">
        <f t="shared" si="13"/>
        <v>0.87437960022894323</v>
      </c>
      <c r="CS34" s="54">
        <f t="shared" si="39"/>
        <v>0.70529917434394362</v>
      </c>
      <c r="CT34" s="54">
        <f t="shared" si="40"/>
        <v>0.85667775682049196</v>
      </c>
      <c r="CU34" s="54">
        <f t="shared" si="41"/>
        <v>0.86364591498413157</v>
      </c>
      <c r="CV34" s="54">
        <f t="shared" si="29"/>
        <v>6.3866356574184087E-7</v>
      </c>
      <c r="CW34" s="54">
        <f t="shared" si="35"/>
        <v>0.88761569558159115</v>
      </c>
      <c r="CX34" s="54">
        <f t="shared" si="42"/>
        <v>5.7646193007296604E-7</v>
      </c>
      <c r="CY34" s="54">
        <f t="shared" si="30"/>
        <v>9.855504038582175E-7</v>
      </c>
      <c r="CZ34" s="57">
        <f t="shared" si="14"/>
        <v>0.90062942707624782</v>
      </c>
      <c r="DA34" s="57">
        <f t="shared" si="15"/>
        <v>0.90062942707624771</v>
      </c>
      <c r="DB34" s="81">
        <f t="shared" si="31"/>
        <v>0.98555040385821757</v>
      </c>
    </row>
    <row r="35" spans="1:106" x14ac:dyDescent="0.2">
      <c r="A35" s="85">
        <v>2012</v>
      </c>
      <c r="B35" s="99">
        <v>1081563.6649999991</v>
      </c>
      <c r="C35" s="99">
        <v>557363.81799999892</v>
      </c>
      <c r="D35" s="67">
        <v>0.51533149276052947</v>
      </c>
      <c r="E35" s="99">
        <v>974688.90300000086</v>
      </c>
      <c r="F35" s="99">
        <v>528835.74499999848</v>
      </c>
      <c r="G35" s="67">
        <v>0.54256875539702132</v>
      </c>
      <c r="H35" s="99">
        <v>1031441.273000001</v>
      </c>
      <c r="I35" s="99">
        <v>551330.99430218129</v>
      </c>
      <c r="J35" s="67">
        <v>0.53452485248976511</v>
      </c>
      <c r="K35" s="98">
        <f t="shared" si="32"/>
        <v>0</v>
      </c>
      <c r="L35" s="98">
        <f t="shared" si="33"/>
        <v>0</v>
      </c>
      <c r="M35" s="98">
        <f t="shared" si="34"/>
        <v>0</v>
      </c>
      <c r="N35" s="98"/>
      <c r="O35" s="53">
        <f>'[17]Table I.P 1'!$D$8/1000</f>
        <v>842.024</v>
      </c>
      <c r="P35" s="109">
        <f>WrightZucman!O56</f>
        <v>543.38</v>
      </c>
      <c r="Q35" s="54">
        <f t="shared" si="43"/>
        <v>0.39221772132894089</v>
      </c>
      <c r="R35" s="110">
        <f t="shared" si="44"/>
        <v>596.21280264542008</v>
      </c>
      <c r="S35" s="53">
        <f t="shared" si="50"/>
        <v>610.923</v>
      </c>
      <c r="T35" s="54">
        <f t="shared" si="45"/>
        <v>0.41454425415117763</v>
      </c>
      <c r="U35" s="56">
        <f t="shared" si="46"/>
        <v>0.41454425415117763</v>
      </c>
      <c r="V35" s="53">
        <v>152.667</v>
      </c>
      <c r="W35" s="53">
        <f>'[17]Table I.P 1'!$J$8/1000</f>
        <v>223.83199999999999</v>
      </c>
      <c r="X35" s="56">
        <f t="shared" si="48"/>
        <v>0.2658261522236896</v>
      </c>
      <c r="Y35" s="54">
        <f t="shared" si="0"/>
        <v>0.28095807722036142</v>
      </c>
      <c r="Z35" s="56">
        <f t="shared" si="51"/>
        <v>0.27176116136520467</v>
      </c>
      <c r="AA35" s="54">
        <f t="shared" si="1"/>
        <v>0.26833505904957439</v>
      </c>
      <c r="AB35" s="54">
        <f t="shared" si="49"/>
        <v>0.26683781514974758</v>
      </c>
      <c r="AD35" s="55">
        <f t="shared" si="2"/>
        <v>1750.5918026454203</v>
      </c>
      <c r="AE35" s="53">
        <f t="shared" si="3"/>
        <v>272.2</v>
      </c>
      <c r="AF35" s="53">
        <f t="shared" si="16"/>
        <v>1478.3918026454203</v>
      </c>
      <c r="AG35" s="55">
        <f t="shared" si="17"/>
        <v>1750.5918026454203</v>
      </c>
      <c r="AH35" s="53">
        <f t="shared" si="18"/>
        <v>1134.2120000000002</v>
      </c>
      <c r="AI35" s="53">
        <f t="shared" si="4"/>
        <v>616.37980264542011</v>
      </c>
      <c r="AJ35" s="53"/>
      <c r="AK35" s="55">
        <f t="shared" si="19"/>
        <v>2022.7918026454204</v>
      </c>
      <c r="AL35" s="53">
        <f t="shared" si="5"/>
        <v>1406.4120000000003</v>
      </c>
      <c r="AM35" s="53">
        <f t="shared" si="20"/>
        <v>616.37980264542011</v>
      </c>
      <c r="AN35" s="55">
        <f t="shared" si="21"/>
        <v>2022.7918026454204</v>
      </c>
      <c r="AO35" s="53">
        <f t="shared" si="22"/>
        <v>1478.3918026454203</v>
      </c>
      <c r="AP35" s="53">
        <v>544.4</v>
      </c>
      <c r="AQ35" s="53">
        <f t="shared" si="6"/>
        <v>0</v>
      </c>
      <c r="AR35" s="56">
        <f>Data!AM35/Data!AK35</f>
        <v>0.3047173722176027</v>
      </c>
      <c r="AS35" s="56">
        <f>Data!AI35/Data!AG35</f>
        <v>0.35209796008068417</v>
      </c>
      <c r="AT35" s="56"/>
      <c r="AV35" s="53">
        <f>'[1]Assets(BoP)'!$D104</f>
        <v>1997.4</v>
      </c>
      <c r="AW35" s="53">
        <v>72.2</v>
      </c>
      <c r="AX35" s="53">
        <f>'[1]Assets(BoP)'!$CI104</f>
        <v>166.70500000000001</v>
      </c>
      <c r="AY35" s="53">
        <f t="shared" si="7"/>
        <v>96.786000000000001</v>
      </c>
      <c r="AZ35" s="53">
        <f t="shared" si="23"/>
        <v>1855.2810000000002</v>
      </c>
      <c r="BA35" s="53">
        <v>448.86900000000003</v>
      </c>
      <c r="BB35" s="53">
        <f t="shared" si="24"/>
        <v>1406.4120000000003</v>
      </c>
      <c r="BC35" s="53">
        <f t="shared" si="28"/>
        <v>428.702</v>
      </c>
      <c r="BD35" s="53">
        <v>20.167000000000002</v>
      </c>
      <c r="BE35" s="96">
        <f t="shared" si="8"/>
        <v>4.4928475791377889E-2</v>
      </c>
      <c r="BF35" s="53">
        <v>458.25599999999997</v>
      </c>
      <c r="BG35" s="107">
        <f t="shared" si="25"/>
        <v>596.21280264542008</v>
      </c>
      <c r="BI35" s="84">
        <f>'[1]Assets(BoP)'!$Q104</f>
        <v>243.5</v>
      </c>
      <c r="BK35" s="78">
        <v>96.786000000000001</v>
      </c>
      <c r="BL35" s="81">
        <v>146.52099999999999</v>
      </c>
      <c r="BM35" s="78">
        <f t="shared" si="47"/>
        <v>0.19300000000001205</v>
      </c>
      <c r="BP35">
        <v>2012</v>
      </c>
      <c r="BQ35" s="56">
        <f>Data!AR35*WrightZucman!B56</f>
        <v>9.184252705714252E-2</v>
      </c>
      <c r="BR35" s="67">
        <f>$BQ35*WrightZucman!C56/WrightZucman!$B56</f>
        <v>3.8995613804828397E-2</v>
      </c>
      <c r="BS35" s="73">
        <f>WrightZucman!C56*Data!AS35-BR35</f>
        <v>6.0634386963505441E-3</v>
      </c>
      <c r="BT35" s="67">
        <f>$BQ35*WrightZucman!D56/WrightZucman!$B56</f>
        <v>1.0981220476950011E-2</v>
      </c>
      <c r="BU35" s="67">
        <f>$BQ35*WrightZucman!E56/WrightZucman!$B56</f>
        <v>1.3313510128856614E-2</v>
      </c>
      <c r="BV35" s="67">
        <f>$BQ35*WrightZucman!F56/WrightZucman!$B56</f>
        <v>1.514558281286211E-2</v>
      </c>
      <c r="BW35" s="67">
        <f>$BQ35*WrightZucman!G56/WrightZucman!$B56</f>
        <v>1.3406599833645382E-2</v>
      </c>
      <c r="BX35" s="71">
        <f t="shared" si="10"/>
        <v>0</v>
      </c>
      <c r="BY35" s="71"/>
      <c r="BZ35" s="67">
        <f>Data!AR35*WrightZucman!B56</f>
        <v>9.184252705714252E-2</v>
      </c>
      <c r="CA35" s="67">
        <f>Data!D35*WrightZucman!B56</f>
        <v>0.15532211446565658</v>
      </c>
      <c r="CB35" s="73">
        <f>Data!Q35*WrightZucman!B56</f>
        <v>0.11821533646503114</v>
      </c>
      <c r="CC35" s="73">
        <f>WrightZucman!C56*Data!$Q35</f>
        <v>5.0193301015443871E-2</v>
      </c>
      <c r="CD35" s="73">
        <f>WrightZucman!D56*Data!$Q35</f>
        <v>1.4134505169611176E-2</v>
      </c>
      <c r="CE35" s="73">
        <f>WrightZucman!E56*Data!$Q35</f>
        <v>1.7136517578987789E-2</v>
      </c>
      <c r="CF35" s="73">
        <f>WrightZucman!F56*Data!$Q35</f>
        <v>1.94946744776253E-2</v>
      </c>
      <c r="CG35" s="73">
        <f>WrightZucman!G56*Data!$Q35</f>
        <v>1.7256338223363005E-2</v>
      </c>
      <c r="CH35" s="71">
        <f t="shared" si="37"/>
        <v>0</v>
      </c>
      <c r="CI35" s="71"/>
      <c r="CJ35" s="53">
        <f t="shared" si="26"/>
        <v>325.39999999999998</v>
      </c>
      <c r="CK35" s="53">
        <v>274.7</v>
      </c>
      <c r="CL35" s="53">
        <v>50.7</v>
      </c>
      <c r="CM35" s="53">
        <f t="shared" si="11"/>
        <v>167.51080264542003</v>
      </c>
      <c r="CN35" s="56">
        <f t="shared" si="12"/>
        <v>0.28156809708611341</v>
      </c>
      <c r="CO35" s="56">
        <f>'[1]Assets(BoP)'!$BN104</f>
        <v>0.28357809056115224</v>
      </c>
      <c r="CQ35" s="54">
        <f t="shared" si="38"/>
        <v>0.79139180127910802</v>
      </c>
      <c r="CR35" s="54">
        <f t="shared" si="13"/>
        <v>0.88156684834234567</v>
      </c>
      <c r="CS35" s="54">
        <f t="shared" si="39"/>
        <v>0.59870365156156224</v>
      </c>
      <c r="CT35" s="54">
        <f t="shared" si="40"/>
        <v>0.74238678483387577</v>
      </c>
      <c r="CU35" s="54">
        <f t="shared" si="41"/>
        <v>0.79139180127910802</v>
      </c>
      <c r="CV35" s="54">
        <f t="shared" si="29"/>
        <v>5.5677680058086197E-7</v>
      </c>
      <c r="CW35" s="54">
        <f t="shared" si="35"/>
        <v>0.88699159537254668</v>
      </c>
      <c r="CX35" s="54">
        <f t="shared" si="42"/>
        <v>5.2950172204117975E-7</v>
      </c>
      <c r="CY35" s="54">
        <f t="shared" si="30"/>
        <v>9.7323373145864496E-7</v>
      </c>
      <c r="CZ35" s="57">
        <f t="shared" si="14"/>
        <v>0.91138599773269069</v>
      </c>
      <c r="DA35" s="57">
        <f t="shared" si="15"/>
        <v>0.91138599773269069</v>
      </c>
      <c r="DB35" s="81">
        <f t="shared" si="31"/>
        <v>0.973233731458645</v>
      </c>
    </row>
    <row r="36" spans="1:106" x14ac:dyDescent="0.2">
      <c r="A36" s="85">
        <v>2013</v>
      </c>
      <c r="B36" s="99">
        <v>1164285.662999999</v>
      </c>
      <c r="C36" s="99">
        <v>536173.32299999963</v>
      </c>
      <c r="D36" s="67">
        <v>0.46051698482522668</v>
      </c>
      <c r="E36" s="99">
        <v>1106775.721999998</v>
      </c>
      <c r="F36" s="99">
        <v>525994.348</v>
      </c>
      <c r="G36" s="67">
        <v>0.47524926463827949</v>
      </c>
      <c r="H36" s="99">
        <v>1119734.943999998</v>
      </c>
      <c r="I36" s="99">
        <v>530098.9329834237</v>
      </c>
      <c r="J36" s="67">
        <v>0.47341465569500402</v>
      </c>
      <c r="K36" s="98">
        <f t="shared" si="32"/>
        <v>0</v>
      </c>
      <c r="L36" s="98">
        <f t="shared" si="33"/>
        <v>0</v>
      </c>
      <c r="M36" s="98">
        <f t="shared" si="34"/>
        <v>0</v>
      </c>
      <c r="N36" s="98"/>
      <c r="O36" s="53">
        <f>'[18]Table I.P 1'!$D$8/1000</f>
        <v>1019.15</v>
      </c>
      <c r="P36" s="109">
        <f>WrightZucman!O57</f>
        <v>511.726</v>
      </c>
      <c r="Q36" s="54">
        <f t="shared" si="43"/>
        <v>0.33427005191798681</v>
      </c>
      <c r="R36" s="110">
        <f t="shared" si="44"/>
        <v>604.32709454088376</v>
      </c>
      <c r="S36" s="53">
        <f t="shared" si="50"/>
        <v>606.00300000000004</v>
      </c>
      <c r="T36" s="54">
        <f t="shared" si="45"/>
        <v>0.37224245206353612</v>
      </c>
      <c r="U36" s="56">
        <f t="shared" si="46"/>
        <v>0.37224245206353612</v>
      </c>
      <c r="V36" s="53">
        <v>138.607</v>
      </c>
      <c r="W36" s="53">
        <f>'[18]Table I.P 1'!$J$8/1000</f>
        <v>282.90300000000002</v>
      </c>
      <c r="X36" s="56">
        <f t="shared" si="48"/>
        <v>0.27758720502379436</v>
      </c>
      <c r="Y36" s="75">
        <f t="shared" si="0"/>
        <v>0.27086175023352344</v>
      </c>
      <c r="Z36" s="56">
        <f t="shared" si="51"/>
        <v>0.27533908690187842</v>
      </c>
      <c r="AA36" s="54">
        <f t="shared" si="1"/>
        <v>0.25994454876770529</v>
      </c>
      <c r="AB36" s="54">
        <f t="shared" si="49"/>
        <v>0.27152718776305945</v>
      </c>
      <c r="AD36" s="55">
        <f t="shared" si="2"/>
        <v>1753.2540945408837</v>
      </c>
      <c r="AE36" s="53">
        <f t="shared" si="3"/>
        <v>276.625</v>
      </c>
      <c r="AF36" s="53">
        <f t="shared" si="16"/>
        <v>1476.6290945408837</v>
      </c>
      <c r="AG36" s="55">
        <f t="shared" si="17"/>
        <v>1753.2540945408837</v>
      </c>
      <c r="AH36" s="53">
        <f t="shared" si="18"/>
        <v>1130.4209999999998</v>
      </c>
      <c r="AI36" s="53">
        <f t="shared" si="4"/>
        <v>622.83309454088374</v>
      </c>
      <c r="AJ36" s="53"/>
      <c r="AK36" s="55">
        <f t="shared" si="19"/>
        <v>2029.8790945408837</v>
      </c>
      <c r="AL36" s="53">
        <f t="shared" si="5"/>
        <v>1407.046</v>
      </c>
      <c r="AM36" s="53">
        <f t="shared" si="20"/>
        <v>622.83309454088374</v>
      </c>
      <c r="AN36" s="55">
        <f t="shared" si="21"/>
        <v>2029.8790945408837</v>
      </c>
      <c r="AO36" s="53">
        <f t="shared" si="22"/>
        <v>1476.6290945408837</v>
      </c>
      <c r="AP36" s="53">
        <v>553.25</v>
      </c>
      <c r="AQ36" s="53">
        <f t="shared" si="6"/>
        <v>0</v>
      </c>
      <c r="AR36" s="56">
        <f>Data!AM36/Data!AK36</f>
        <v>0.30683260703355125</v>
      </c>
      <c r="AS36" s="56">
        <f>Data!AI36/Data!AG36</f>
        <v>0.35524405531417402</v>
      </c>
      <c r="AT36" s="56"/>
      <c r="AV36" s="53">
        <f>'[1]Assets(BoP)'!$D105</f>
        <v>2010.7</v>
      </c>
      <c r="AW36" s="53">
        <v>80.2</v>
      </c>
      <c r="AX36" s="53">
        <f>'[1]Assets(BoP)'!$CI105</f>
        <v>173.87700000000001</v>
      </c>
      <c r="AY36" s="53">
        <f t="shared" si="7"/>
        <v>109.56699999999999</v>
      </c>
      <c r="AZ36" s="53">
        <f t="shared" si="23"/>
        <v>1866.19</v>
      </c>
      <c r="BA36" s="53">
        <v>459.14400000000001</v>
      </c>
      <c r="BB36" s="53">
        <f t="shared" si="24"/>
        <v>1407.046</v>
      </c>
      <c r="BC36" s="53">
        <f t="shared" si="28"/>
        <v>440.63800000000003</v>
      </c>
      <c r="BD36" s="53">
        <v>18.506</v>
      </c>
      <c r="BE36" s="96">
        <f t="shared" si="8"/>
        <v>4.030543794539404E-2</v>
      </c>
      <c r="BF36" s="53">
        <v>467.39600000000002</v>
      </c>
      <c r="BG36" s="107">
        <f t="shared" si="25"/>
        <v>604.32709454088376</v>
      </c>
      <c r="BI36" s="84">
        <f>'[1]Assets(BoP)'!$Q105</f>
        <v>267.3</v>
      </c>
      <c r="BK36" s="78">
        <v>109.56699999999999</v>
      </c>
      <c r="BL36" s="81">
        <v>157.63200000000001</v>
      </c>
      <c r="BM36" s="78">
        <f t="shared" si="47"/>
        <v>0.10099999999999909</v>
      </c>
      <c r="BP36">
        <v>2013</v>
      </c>
      <c r="BQ36" s="56">
        <f>Data!AR36*WrightZucman!B57</f>
        <v>9.1735110289264371E-2</v>
      </c>
      <c r="BR36" s="67">
        <f>$BQ36*WrightZucman!C57/WrightZucman!$B57</f>
        <v>3.7023706019433618E-2</v>
      </c>
      <c r="BS36" s="73">
        <f>WrightZucman!C57*Data!AS36-BR36</f>
        <v>5.8415278820767649E-3</v>
      </c>
      <c r="BT36" s="67">
        <f>$BQ36*WrightZucman!D57/WrightZucman!$B57</f>
        <v>3.5436556039135938E-3</v>
      </c>
      <c r="BU36" s="67">
        <f>$BQ36*WrightZucman!E57/WrightZucman!$B57</f>
        <v>2.0832018045138744E-2</v>
      </c>
      <c r="BV36" s="67">
        <f>$BQ36*WrightZucman!F57/WrightZucman!$B57</f>
        <v>1.4482818520630956E-2</v>
      </c>
      <c r="BW36" s="67">
        <f>$BQ36*WrightZucman!G57/WrightZucman!$B57</f>
        <v>1.5852912100147463E-2</v>
      </c>
      <c r="BX36" s="71">
        <f t="shared" si="10"/>
        <v>0</v>
      </c>
      <c r="BY36" s="71"/>
      <c r="BZ36" s="67">
        <f>Data!AR36*WrightZucman!B57</f>
        <v>9.1735110289264371E-2</v>
      </c>
      <c r="CA36" s="67">
        <f>Data!D36*WrightZucman!B57</f>
        <v>0.13768281279310784</v>
      </c>
      <c r="CB36" s="73">
        <f>Data!Q36*WrightZucman!B57</f>
        <v>9.9938205315126746E-2</v>
      </c>
      <c r="CC36" s="73">
        <f>WrightZucman!C57*Data!$Q36</f>
        <v>4.0334422905578239E-2</v>
      </c>
      <c r="CD36" s="73">
        <f>WrightZucman!D57*Data!$Q36</f>
        <v>3.8605347526514231E-3</v>
      </c>
      <c r="CE36" s="73">
        <f>WrightZucman!E57*Data!$Q36</f>
        <v>2.2694849223581788E-2</v>
      </c>
      <c r="CF36" s="73">
        <f>WrightZucman!F57*Data!$Q36</f>
        <v>1.5777894486555411E-2</v>
      </c>
      <c r="CG36" s="73">
        <f>WrightZucman!G57*Data!$Q36</f>
        <v>1.7270503946759892E-2</v>
      </c>
      <c r="CH36" s="71">
        <f t="shared" si="37"/>
        <v>0</v>
      </c>
      <c r="CI36" s="71"/>
      <c r="CJ36" s="53">
        <f t="shared" si="26"/>
        <v>352.29999999999995</v>
      </c>
      <c r="CK36" s="53">
        <v>298.39999999999998</v>
      </c>
      <c r="CL36" s="53">
        <v>53.9</v>
      </c>
      <c r="CM36" s="53">
        <f t="shared" si="11"/>
        <v>163.68909454088379</v>
      </c>
      <c r="CN36" s="56">
        <f t="shared" si="12"/>
        <v>0.29430365863540359</v>
      </c>
      <c r="CO36" s="56">
        <f>'[1]Assets(BoP)'!$BN105</f>
        <v>0.30248220522768438</v>
      </c>
      <c r="CQ36" s="54">
        <f t="shared" si="38"/>
        <v>0.87316265495497569</v>
      </c>
      <c r="CR36" s="54">
        <f t="shared" si="13"/>
        <v>0.82161016247412899</v>
      </c>
      <c r="CS36" s="54">
        <f t="shared" si="39"/>
        <v>0.72431889220395063</v>
      </c>
      <c r="CT36" s="54">
        <f t="shared" si="40"/>
        <v>0.90156676141012948</v>
      </c>
      <c r="CU36" s="54">
        <f t="shared" si="41"/>
        <v>0.87316265495497569</v>
      </c>
      <c r="CV36" s="54">
        <f t="shared" si="29"/>
        <v>6.3126943518693115E-7</v>
      </c>
      <c r="CW36" s="54">
        <f t="shared" si="35"/>
        <v>0.87038021752045658</v>
      </c>
      <c r="CX36" s="54">
        <f t="shared" si="42"/>
        <v>5.6986839425010845E-7</v>
      </c>
      <c r="CY36" s="54">
        <f t="shared" si="30"/>
        <v>1.0278827888362131E-6</v>
      </c>
      <c r="CZ36" s="57">
        <f t="shared" si="14"/>
        <v>0.84676991090191944</v>
      </c>
      <c r="DA36" s="57">
        <f t="shared" si="15"/>
        <v>0.84676991090191944</v>
      </c>
      <c r="DB36" s="81">
        <f t="shared" si="31"/>
        <v>1.027882788836213</v>
      </c>
    </row>
    <row r="37" spans="1:106" x14ac:dyDescent="0.2">
      <c r="A37" s="85">
        <v>2014</v>
      </c>
      <c r="B37" s="99">
        <v>1200184.149999999</v>
      </c>
      <c r="C37" s="99">
        <v>530081.48</v>
      </c>
      <c r="D37" s="67">
        <v>0.44166678921730501</v>
      </c>
      <c r="E37" s="99">
        <v>1127570.3179999969</v>
      </c>
      <c r="F37" s="99">
        <v>520938.28399999952</v>
      </c>
      <c r="G37" s="67">
        <v>0.46200070690402922</v>
      </c>
      <c r="H37" s="99">
        <v>1148277.510999996</v>
      </c>
      <c r="I37" s="99">
        <v>528165.97183163976</v>
      </c>
      <c r="J37" s="67">
        <v>0.45996369934274672</v>
      </c>
      <c r="K37" s="98">
        <f t="shared" si="32"/>
        <v>0</v>
      </c>
      <c r="L37" s="98">
        <f t="shared" si="33"/>
        <v>0</v>
      </c>
      <c r="M37" s="98">
        <f t="shared" si="34"/>
        <v>0</v>
      </c>
      <c r="N37" s="98"/>
      <c r="O37" s="53">
        <f>'[19]Table I.P 1'!$D$7/1000</f>
        <v>1124.857</v>
      </c>
      <c r="P37" s="109">
        <f>WrightZucman!O58</f>
        <v>554.226</v>
      </c>
      <c r="Q37" s="54">
        <f t="shared" si="43"/>
        <v>0.33007659537973999</v>
      </c>
      <c r="R37" s="110">
        <f t="shared" si="44"/>
        <v>589.47405860894594</v>
      </c>
      <c r="S37" s="53">
        <f t="shared" si="50"/>
        <v>604.92899999999997</v>
      </c>
      <c r="T37" s="54">
        <f t="shared" si="45"/>
        <v>0.34385077237488826</v>
      </c>
      <c r="U37" s="56">
        <f t="shared" si="46"/>
        <v>0.34385077237488826</v>
      </c>
      <c r="V37" s="53">
        <v>133.16399999999999</v>
      </c>
      <c r="W37" s="53">
        <f>'[19]Table I.N 1'!$I$8/1000</f>
        <v>331.71199999999999</v>
      </c>
      <c r="X37" s="56">
        <f t="shared" si="48"/>
        <v>0.29489259523655009</v>
      </c>
      <c r="Y37" s="75">
        <f t="shared" si="0"/>
        <v>0.2402702146777668</v>
      </c>
      <c r="Z37" s="56">
        <f t="shared" si="51"/>
        <v>0.27686302583017036</v>
      </c>
      <c r="AA37" s="54">
        <f t="shared" si="1"/>
        <v>0.23266286663215541</v>
      </c>
      <c r="AB37" s="54">
        <f t="shared" si="49"/>
        <v>0.2739068932724571</v>
      </c>
      <c r="AD37" s="55">
        <f t="shared" si="2"/>
        <v>1780.6800586089457</v>
      </c>
      <c r="AE37" s="53">
        <f t="shared" si="3"/>
        <v>305.69499999999999</v>
      </c>
      <c r="AF37" s="53">
        <f t="shared" si="16"/>
        <v>1474.9850586089458</v>
      </c>
      <c r="AG37" s="55">
        <f t="shared" si="17"/>
        <v>1780.6800586089457</v>
      </c>
      <c r="AH37" s="53">
        <f t="shared" si="18"/>
        <v>1176.5629999999996</v>
      </c>
      <c r="AI37" s="53">
        <f t="shared" si="4"/>
        <v>604.11705860894597</v>
      </c>
      <c r="AJ37" s="53"/>
      <c r="AK37" s="55">
        <f t="shared" si="19"/>
        <v>2086.3750586089459</v>
      </c>
      <c r="AL37" s="53">
        <f t="shared" si="5"/>
        <v>1482.2579999999998</v>
      </c>
      <c r="AM37" s="53">
        <f t="shared" si="20"/>
        <v>604.11705860894597</v>
      </c>
      <c r="AN37" s="55">
        <f t="shared" si="21"/>
        <v>2086.3750586089459</v>
      </c>
      <c r="AO37" s="53">
        <f t="shared" si="22"/>
        <v>1474.985058608946</v>
      </c>
      <c r="AP37" s="53">
        <v>611.39</v>
      </c>
      <c r="AQ37" s="53">
        <f t="shared" si="6"/>
        <v>0</v>
      </c>
      <c r="AR37" s="56">
        <f>Data!AM37/Data!AK37</f>
        <v>0.28955343197580707</v>
      </c>
      <c r="AS37" s="56">
        <f>Data!AI37/Data!AG37</f>
        <v>0.3392619890857192</v>
      </c>
      <c r="AT37" s="56"/>
      <c r="AV37" s="53">
        <f>'[1]Assets(BoP)'!$D106</f>
        <v>2120.1999999999998</v>
      </c>
      <c r="AW37" s="53">
        <v>104</v>
      </c>
      <c r="AX37" s="53">
        <f>'[1]Assets(BoP)'!$CI106</f>
        <v>197.74700000000001</v>
      </c>
      <c r="AY37" s="53">
        <f t="shared" si="7"/>
        <v>126.289</v>
      </c>
      <c r="AZ37" s="53">
        <f t="shared" si="23"/>
        <v>1944.7419999999997</v>
      </c>
      <c r="BA37" s="53">
        <v>462.48399999999998</v>
      </c>
      <c r="BB37" s="53">
        <f t="shared" si="24"/>
        <v>1482.2579999999998</v>
      </c>
      <c r="BC37" s="53">
        <f t="shared" si="28"/>
        <v>447.84100000000001</v>
      </c>
      <c r="BD37" s="53">
        <v>14.643000000000001</v>
      </c>
      <c r="BE37" s="96">
        <f t="shared" si="8"/>
        <v>3.1661635861997391E-2</v>
      </c>
      <c r="BF37" s="53">
        <v>471.76499999999999</v>
      </c>
      <c r="BG37" s="107">
        <f t="shared" si="25"/>
        <v>589.47405860894594</v>
      </c>
      <c r="BI37" s="84">
        <f>'[1]Assets(BoP)'!$Q106</f>
        <v>288.5</v>
      </c>
      <c r="BK37" s="78">
        <v>126.289</v>
      </c>
      <c r="BL37" s="81">
        <v>162.09800000000001</v>
      </c>
      <c r="BM37" s="78">
        <f t="shared" si="47"/>
        <v>0.11299999999999955</v>
      </c>
      <c r="BP37">
        <v>2014</v>
      </c>
      <c r="BQ37" s="56">
        <f>Data!AR37*WrightZucman!B58</f>
        <v>9.7771159803734409E-2</v>
      </c>
      <c r="BR37" s="67">
        <f>$BQ37*WrightZucman!C58/WrightZucman!$B58</f>
        <v>3.2168075683231018E-2</v>
      </c>
      <c r="BS37" s="73">
        <f>WrightZucman!C58*Data!AS37-BR37</f>
        <v>5.5223956984542522E-3</v>
      </c>
      <c r="BT37" s="67">
        <f>$BQ37*WrightZucman!D58/WrightZucman!$B58</f>
        <v>1.1571667451242185E-2</v>
      </c>
      <c r="BU37" s="67">
        <f>$BQ37*WrightZucman!E58/WrightZucman!$B58</f>
        <v>1.9949619469307091E-2</v>
      </c>
      <c r="BV37" s="67">
        <f>$BQ37*WrightZucman!F58/WrightZucman!$B58</f>
        <v>1.8983093450760068E-2</v>
      </c>
      <c r="BW37" s="67">
        <f>$BQ37*WrightZucman!G58/WrightZucman!$B58</f>
        <v>1.5098703749194054E-2</v>
      </c>
      <c r="BX37" s="71">
        <f t="shared" si="10"/>
        <v>0</v>
      </c>
      <c r="BY37" s="71"/>
      <c r="BZ37" s="67">
        <f>Data!AR37*WrightZucman!B58</f>
        <v>9.7771159803734409E-2</v>
      </c>
      <c r="CA37" s="67">
        <f>Data!D37*WrightZucman!B58</f>
        <v>0.14913404387545096</v>
      </c>
      <c r="CB37" s="73">
        <f>Data!Q37*WrightZucman!B58</f>
        <v>0.11145428784640186</v>
      </c>
      <c r="CC37" s="73">
        <f>WrightZucman!C58*Data!$Q37</f>
        <v>3.6670015716912141E-2</v>
      </c>
      <c r="CD37" s="73">
        <f>WrightZucman!D58*Data!$Q37</f>
        <v>1.3191128729193256E-2</v>
      </c>
      <c r="CE37" s="73">
        <f>WrightZucman!E58*Data!$Q37</f>
        <v>2.274157977896268E-2</v>
      </c>
      <c r="CF37" s="73">
        <f>WrightZucman!F58*Data!$Q37</f>
        <v>2.1639787908042663E-2</v>
      </c>
      <c r="CG37" s="73">
        <f>WrightZucman!G58*Data!$Q37</f>
        <v>1.7211775713291123E-2</v>
      </c>
      <c r="CH37" s="71">
        <f t="shared" si="37"/>
        <v>0</v>
      </c>
      <c r="CI37" s="71"/>
      <c r="CJ37" s="53">
        <f t="shared" si="26"/>
        <v>396.1</v>
      </c>
      <c r="CK37" s="53">
        <v>339.6</v>
      </c>
      <c r="CL37" s="53">
        <v>56.5</v>
      </c>
      <c r="CM37" s="53">
        <f t="shared" si="11"/>
        <v>141.63305860894593</v>
      </c>
      <c r="CN37" s="56">
        <f t="shared" si="12"/>
        <v>0.30198185014157969</v>
      </c>
      <c r="CO37" s="56">
        <f>'[1]Assets(BoP)'!$BN106</f>
        <v>0.32519110832066461</v>
      </c>
      <c r="CQ37" s="54">
        <f t="shared" si="38"/>
        <v>0.9429447990290224</v>
      </c>
      <c r="CR37" s="54">
        <f t="shared" si="13"/>
        <v>0.91741491504340855</v>
      </c>
      <c r="CS37" s="54">
        <f t="shared" si="39"/>
        <v>0.75888070767707116</v>
      </c>
      <c r="CT37" s="54">
        <f t="shared" si="40"/>
        <v>0.95605335200919972</v>
      </c>
      <c r="CU37" s="54">
        <f t="shared" si="41"/>
        <v>0.9429447990290224</v>
      </c>
      <c r="CV37" s="54">
        <f t="shared" si="29"/>
        <v>6.3322454393118029E-7</v>
      </c>
      <c r="CW37" s="54">
        <f t="shared" si="35"/>
        <v>0.88373402763358455</v>
      </c>
      <c r="CX37" s="54">
        <f t="shared" si="42"/>
        <v>5.3929702531077054E-7</v>
      </c>
      <c r="CY37" s="54">
        <f t="shared" si="30"/>
        <v>9.3993837171117824E-7</v>
      </c>
      <c r="CZ37" s="57">
        <f t="shared" si="14"/>
        <v>0.94020422426709482</v>
      </c>
      <c r="DA37" s="57">
        <f t="shared" si="15"/>
        <v>0.94020422426709482</v>
      </c>
      <c r="DB37" s="81">
        <f t="shared" si="31"/>
        <v>0.93993837171117833</v>
      </c>
    </row>
    <row r="38" spans="1:106" x14ac:dyDescent="0.2">
      <c r="A38" s="85">
        <v>2015</v>
      </c>
      <c r="B38" s="99">
        <v>1088345.381999997</v>
      </c>
      <c r="C38" s="99">
        <v>470021.05300000048</v>
      </c>
      <c r="D38" s="67">
        <v>0.43186754937689598</v>
      </c>
      <c r="E38" s="99">
        <v>873410.97099999734</v>
      </c>
      <c r="F38" s="99">
        <v>433442.05900000012</v>
      </c>
      <c r="G38" s="67">
        <v>0.49626358425946698</v>
      </c>
      <c r="H38" s="99">
        <v>1006062.304999998</v>
      </c>
      <c r="I38" s="99">
        <v>461607.09938341723</v>
      </c>
      <c r="J38" s="67">
        <v>0.45882555890354942</v>
      </c>
      <c r="K38" s="98">
        <f t="shared" si="32"/>
        <v>0</v>
      </c>
      <c r="L38" s="98">
        <f t="shared" si="33"/>
        <v>0</v>
      </c>
      <c r="M38" s="98">
        <f t="shared" si="34"/>
        <v>0</v>
      </c>
      <c r="N38" s="98"/>
      <c r="O38" s="53">
        <f>'[20]Table I.P 1'!$D$8/1000</f>
        <v>1043.51</v>
      </c>
      <c r="P38" s="109">
        <f>WrightZucman!O59</f>
        <v>478.18800000000005</v>
      </c>
      <c r="Q38" s="54">
        <f t="shared" si="43"/>
        <v>0.31424632220059434</v>
      </c>
      <c r="R38" s="110">
        <f t="shared" si="44"/>
        <v>523.94625662028204</v>
      </c>
      <c r="S38" s="53">
        <f t="shared" si="50"/>
        <v>534.88300000000004</v>
      </c>
      <c r="T38" s="54">
        <f t="shared" si="45"/>
        <v>0.33426531324708514</v>
      </c>
      <c r="U38" s="56">
        <f t="shared" si="46"/>
        <v>0.33426531324708514</v>
      </c>
      <c r="V38" s="53">
        <v>91.421999999999997</v>
      </c>
      <c r="W38" s="53">
        <f>'[20]Table I.P 1'!$J$8/1000</f>
        <v>300.98700000000002</v>
      </c>
      <c r="X38" s="56">
        <f t="shared" si="48"/>
        <v>0.28843710170482317</v>
      </c>
      <c r="Y38" s="75">
        <f t="shared" si="0"/>
        <v>0.19118422043213126</v>
      </c>
      <c r="Z38" s="56">
        <f t="shared" si="51"/>
        <v>0.25787574144146863</v>
      </c>
      <c r="AA38" s="54">
        <f t="shared" si="1"/>
        <v>0.18672211115813178</v>
      </c>
      <c r="AB38" s="54">
        <f t="shared" si="49"/>
        <v>0.25595364148489474</v>
      </c>
      <c r="AD38" s="55">
        <f t="shared" si="2"/>
        <v>1647.3342566202818</v>
      </c>
      <c r="AE38" s="53">
        <f t="shared" si="3"/>
        <v>345.85</v>
      </c>
      <c r="AF38" s="53">
        <f t="shared" si="16"/>
        <v>1301.4842566202819</v>
      </c>
      <c r="AG38" s="55">
        <f t="shared" si="17"/>
        <v>1647.3342566202818</v>
      </c>
      <c r="AH38" s="53">
        <f t="shared" si="18"/>
        <v>1113.261</v>
      </c>
      <c r="AI38" s="53">
        <f t="shared" si="4"/>
        <v>534.073256620282</v>
      </c>
      <c r="AJ38" s="53"/>
      <c r="AK38" s="55">
        <f t="shared" si="19"/>
        <v>1993.1842566202822</v>
      </c>
      <c r="AL38" s="53">
        <f t="shared" si="5"/>
        <v>1459.1110000000001</v>
      </c>
      <c r="AM38" s="53">
        <f t="shared" si="20"/>
        <v>534.073256620282</v>
      </c>
      <c r="AN38" s="55">
        <f t="shared" si="21"/>
        <v>1993.1842566202822</v>
      </c>
      <c r="AO38" s="53">
        <f t="shared" si="22"/>
        <v>1301.4842566202822</v>
      </c>
      <c r="AP38" s="53">
        <v>691.7</v>
      </c>
      <c r="AQ38" s="53">
        <f t="shared" si="6"/>
        <v>0</v>
      </c>
      <c r="AR38" s="56">
        <f>Data!AM38/Data!AK38</f>
        <v>0.26794976673449977</v>
      </c>
      <c r="AS38" s="56">
        <f>Data!AI38/Data!AG38</f>
        <v>0.32420454711844698</v>
      </c>
      <c r="AT38" s="56"/>
      <c r="AV38" s="53">
        <f>'[1]Assets(BoP)'!$D107</f>
        <v>2060.5</v>
      </c>
      <c r="AW38" s="53">
        <v>101.2</v>
      </c>
      <c r="AX38" s="53">
        <f>'[1]Assets(BoP)'!$CI107</f>
        <v>203.05199999999999</v>
      </c>
      <c r="AY38" s="53">
        <f t="shared" si="7"/>
        <v>136.76599999999999</v>
      </c>
      <c r="AZ38" s="53">
        <f t="shared" si="23"/>
        <v>1893.0140000000001</v>
      </c>
      <c r="BA38" s="53">
        <v>433.90300000000002</v>
      </c>
      <c r="BB38" s="53">
        <f t="shared" si="24"/>
        <v>1459.1110000000001</v>
      </c>
      <c r="BC38" s="53">
        <f t="shared" si="28"/>
        <v>423.77600000000001</v>
      </c>
      <c r="BD38" s="53">
        <v>10.127000000000001</v>
      </c>
      <c r="BE38" s="96">
        <f t="shared" si="8"/>
        <v>2.333931777378815E-2</v>
      </c>
      <c r="BF38" s="53">
        <v>443.46100000000001</v>
      </c>
      <c r="BG38" s="107">
        <f t="shared" si="25"/>
        <v>523.94625662028204</v>
      </c>
      <c r="BI38" s="84">
        <f>'[1]Assets(BoP)'!$Q107</f>
        <v>275</v>
      </c>
      <c r="BK38" s="78">
        <v>136.76599999999999</v>
      </c>
      <c r="BL38" s="81">
        <v>138.041</v>
      </c>
      <c r="BM38" s="78">
        <f t="shared" si="47"/>
        <v>0.19300000000001205</v>
      </c>
      <c r="BP38">
        <v>2015</v>
      </c>
      <c r="BQ38" s="56">
        <f>Data!AR38*WrightZucman!B59</f>
        <v>0.11520728247128721</v>
      </c>
      <c r="BR38" s="67">
        <f>$BQ38*WrightZucman!C59/WrightZucman!$B59</f>
        <v>4.1242437558434444E-2</v>
      </c>
      <c r="BS38" s="73">
        <f>WrightZucman!C59*Data!AS38-BR38</f>
        <v>8.658653805238288E-3</v>
      </c>
      <c r="BT38" s="67">
        <f>$BQ38*WrightZucman!D59/WrightZucman!$B59</f>
        <v>1.8393851461823988E-2</v>
      </c>
      <c r="BU38" s="67">
        <f>$BQ38*WrightZucman!E59/WrightZucman!$B59</f>
        <v>2.2225483591719573E-2</v>
      </c>
      <c r="BV38" s="67">
        <f>$BQ38*WrightZucman!F59/WrightZucman!$B59</f>
        <v>1.7379068515459423E-2</v>
      </c>
      <c r="BW38" s="67">
        <f>$BQ38*WrightZucman!G59/WrightZucman!$B59</f>
        <v>1.5966441343849776E-2</v>
      </c>
      <c r="BX38" s="71">
        <f t="shared" si="10"/>
        <v>0</v>
      </c>
      <c r="BY38" s="71"/>
      <c r="BZ38" s="67">
        <f>Data!AR38*WrightZucman!B59</f>
        <v>0.11520728247128721</v>
      </c>
      <c r="CA38" s="67">
        <f>Data!D38*WrightZucman!B59</f>
        <v>0.18568512806561269</v>
      </c>
      <c r="CB38" s="73">
        <f>Data!Q38*WrightZucman!B59</f>
        <v>0.13511288047956954</v>
      </c>
      <c r="CC38" s="73">
        <f>WrightZucman!C59*Data!$Q38</f>
        <v>4.8368335898450285E-2</v>
      </c>
      <c r="CD38" s="73">
        <f>WrightZucman!D59*Data!$Q38</f>
        <v>2.1571954487684154E-2</v>
      </c>
      <c r="CE38" s="73">
        <f>WrightZucman!E59*Data!$Q38</f>
        <v>2.6065618802153908E-2</v>
      </c>
      <c r="CF38" s="73">
        <f>WrightZucman!F59*Data!$Q38</f>
        <v>2.0381836606212272E-2</v>
      </c>
      <c r="CG38" s="73">
        <f>WrightZucman!G59*Data!$Q38</f>
        <v>1.8725134685068916E-2</v>
      </c>
      <c r="CH38" s="71">
        <f t="shared" si="37"/>
        <v>0</v>
      </c>
      <c r="CI38" s="71"/>
      <c r="CJ38" s="53">
        <f t="shared" si="26"/>
        <v>385.3</v>
      </c>
      <c r="CK38" s="53">
        <v>329.1</v>
      </c>
      <c r="CL38" s="53">
        <v>56.2</v>
      </c>
      <c r="CM38" s="53">
        <f t="shared" si="11"/>
        <v>100.170256620282</v>
      </c>
      <c r="CN38" s="56">
        <f t="shared" si="12"/>
        <v>0.29470051671012215</v>
      </c>
      <c r="CO38" s="56">
        <f>'[1]Assets(BoP)'!$BN107</f>
        <v>0.3498510168339331</v>
      </c>
      <c r="CQ38" s="54">
        <f t="shared" si="38"/>
        <v>0.92373359801426047</v>
      </c>
      <c r="CR38" s="54">
        <f t="shared" si="13"/>
        <v>0.89536031634698476</v>
      </c>
      <c r="CS38" s="54">
        <f t="shared" si="39"/>
        <v>0.71516834565704723</v>
      </c>
      <c r="CT38" s="54">
        <f t="shared" si="40"/>
        <v>0.93734533051997693</v>
      </c>
      <c r="CU38" s="54">
        <f t="shared" si="41"/>
        <v>0.92373359801426047</v>
      </c>
      <c r="CV38" s="54">
        <f t="shared" si="29"/>
        <v>5.3019656908726723E-7</v>
      </c>
      <c r="CW38" s="54">
        <f t="shared" si="35"/>
        <v>0.82726434920237868</v>
      </c>
      <c r="CX38" s="54">
        <f t="shared" si="42"/>
        <v>4.2162404960182195E-7</v>
      </c>
      <c r="CY38" s="54">
        <f t="shared" si="30"/>
        <v>9.064260479142096E-7</v>
      </c>
      <c r="CZ38" s="57">
        <f t="shared" si="14"/>
        <v>0.91266612550026438</v>
      </c>
      <c r="DA38" s="57">
        <f t="shared" si="15"/>
        <v>0.91266612550026449</v>
      </c>
      <c r="DB38" s="81">
        <f t="shared" si="31"/>
        <v>0.90642604791420966</v>
      </c>
    </row>
    <row r="39" spans="1:106" x14ac:dyDescent="0.2">
      <c r="A39" s="85">
        <v>2016</v>
      </c>
      <c r="B39" s="99">
        <v>1051327.277</v>
      </c>
      <c r="C39" s="99">
        <v>456590.58500000031</v>
      </c>
      <c r="D39" s="67">
        <v>0.43429919016549978</v>
      </c>
      <c r="E39" s="99">
        <v>919528.91800000065</v>
      </c>
      <c r="F39" s="99">
        <v>447739.10500000062</v>
      </c>
      <c r="G39" s="67">
        <v>0.48692226664697491</v>
      </c>
      <c r="H39" s="99">
        <v>974896.5320000014</v>
      </c>
      <c r="I39" s="99">
        <v>450193.42810846458</v>
      </c>
      <c r="J39" s="67">
        <v>0.46178585453052362</v>
      </c>
      <c r="K39" s="98">
        <f t="shared" si="32"/>
        <v>0</v>
      </c>
      <c r="L39" s="98">
        <f t="shared" si="33"/>
        <v>0</v>
      </c>
      <c r="M39" s="98">
        <f t="shared" si="34"/>
        <v>0</v>
      </c>
      <c r="N39" s="98"/>
      <c r="O39" s="53">
        <v>1032.9169999999999</v>
      </c>
      <c r="P39" s="109">
        <f>WrightZucman!O60</f>
        <v>434.09</v>
      </c>
      <c r="Q39" s="54">
        <f t="shared" si="43"/>
        <v>0.29590179187965704</v>
      </c>
      <c r="R39" s="110">
        <f t="shared" si="44"/>
        <v>525.25103825734766</v>
      </c>
      <c r="S39" s="53">
        <f t="shared" si="50"/>
        <v>538.86199999999997</v>
      </c>
      <c r="T39" s="54">
        <f t="shared" si="45"/>
        <v>0.33709524605881885</v>
      </c>
      <c r="U39" s="56">
        <f t="shared" si="46"/>
        <v>0.33709524605881885</v>
      </c>
      <c r="V39" s="53">
        <v>86.941000000000003</v>
      </c>
      <c r="W39" s="53">
        <f>'[21]Table I.P 1'!$J$8/1000</f>
        <v>288.815</v>
      </c>
      <c r="X39" s="56">
        <f t="shared" si="48"/>
        <v>0.27961104328808611</v>
      </c>
      <c r="Y39" s="75">
        <f t="shared" si="0"/>
        <v>0.20028335137874637</v>
      </c>
      <c r="Z39" s="56">
        <f t="shared" si="51"/>
        <v>0.25613783710643506</v>
      </c>
      <c r="AA39" s="54">
        <f t="shared" si="1"/>
        <v>0.19075885111579879</v>
      </c>
      <c r="AB39" s="75">
        <f t="shared" si="49"/>
        <v>0.2524086909959089</v>
      </c>
      <c r="AD39" s="55">
        <f t="shared" si="2"/>
        <v>1621.0910382573475</v>
      </c>
      <c r="AE39" s="53">
        <f t="shared" si="3"/>
        <v>349.86</v>
      </c>
      <c r="AF39" s="53">
        <f t="shared" si="16"/>
        <v>1271.2310382573473</v>
      </c>
      <c r="AG39" s="55">
        <f t="shared" si="17"/>
        <v>1621.0910382573475</v>
      </c>
      <c r="AH39" s="53">
        <f t="shared" si="18"/>
        <v>1074.8669999999997</v>
      </c>
      <c r="AI39" s="53">
        <f t="shared" si="4"/>
        <v>546.22403825734762</v>
      </c>
      <c r="AJ39" s="53"/>
      <c r="AK39" s="55">
        <f t="shared" si="19"/>
        <v>1970.9510382573476</v>
      </c>
      <c r="AL39" s="53">
        <f t="shared" si="5"/>
        <v>1424.7269999999999</v>
      </c>
      <c r="AM39" s="53">
        <f t="shared" si="20"/>
        <v>546.22403825734762</v>
      </c>
      <c r="AN39" s="55">
        <f t="shared" si="21"/>
        <v>1970.9510382573476</v>
      </c>
      <c r="AO39" s="53">
        <f t="shared" si="22"/>
        <v>1271.2310382573476</v>
      </c>
      <c r="AP39" s="53">
        <v>699.72</v>
      </c>
      <c r="AQ39" s="53">
        <f t="shared" si="6"/>
        <v>0</v>
      </c>
      <c r="AR39" s="56">
        <f>Data!AM39/Data!AK39</f>
        <v>0.27713729446080082</v>
      </c>
      <c r="AS39" s="56">
        <f>Data!AI39/Data!AG39</f>
        <v>0.33694840410969862</v>
      </c>
      <c r="AT39" s="56"/>
      <c r="AV39" s="53">
        <f>'[1]Assets(BoP)'!$D108</f>
        <v>2037.7</v>
      </c>
      <c r="AW39" s="53">
        <v>92.5</v>
      </c>
      <c r="AX39" s="53">
        <f>'[1]Assets(BoP)'!$CI108</f>
        <v>217.96199999999999</v>
      </c>
      <c r="AY39" s="53">
        <f t="shared" si="7"/>
        <v>138.51400000000001</v>
      </c>
      <c r="AZ39" s="53">
        <f t="shared" si="23"/>
        <v>1865.752</v>
      </c>
      <c r="BA39" s="53">
        <v>441.02499999999998</v>
      </c>
      <c r="BB39" s="53">
        <f t="shared" si="24"/>
        <v>1424.7269999999999</v>
      </c>
      <c r="BC39" s="53">
        <v>420.05200000000002</v>
      </c>
      <c r="BD39" s="53">
        <v>20.972999999999999</v>
      </c>
      <c r="BE39" s="96">
        <f t="shared" si="8"/>
        <v>4.7555127260359389E-2</v>
      </c>
      <c r="BF39" s="53">
        <v>451.92099999999999</v>
      </c>
      <c r="BG39" s="107">
        <f t="shared" si="25"/>
        <v>525.25103825734766</v>
      </c>
      <c r="BI39" s="84">
        <f>'[1]Assets(BoP)'!$Q108</f>
        <v>272.3</v>
      </c>
      <c r="BK39" s="78">
        <v>138.51400000000001</v>
      </c>
      <c r="BL39" s="81">
        <v>133.59700000000001</v>
      </c>
      <c r="BM39" s="78">
        <f t="shared" si="47"/>
        <v>0.18899999999999295</v>
      </c>
      <c r="BP39">
        <v>2016</v>
      </c>
      <c r="BQ39" s="56">
        <f>Data!AR39*WrightZucman!B60</f>
        <v>0.13316750573638217</v>
      </c>
      <c r="BR39" s="67">
        <f>$BQ39*WrightZucman!C60/WrightZucman!$B60</f>
        <v>4.9103782001113989E-2</v>
      </c>
      <c r="BS39" s="73">
        <f>WrightZucman!C60*Data!AS39-BR39</f>
        <v>1.0597461071265579E-2</v>
      </c>
      <c r="BT39" s="67">
        <f>$BQ39*WrightZucman!D60/WrightZucman!$B60</f>
        <v>2.7517730576261692E-2</v>
      </c>
      <c r="BU39" s="67">
        <f>$BQ39*WrightZucman!E60/WrightZucman!$B60</f>
        <v>2.7146801119048377E-2</v>
      </c>
      <c r="BV39" s="67">
        <f>$BQ39*WrightZucman!F60/WrightZucman!$B60</f>
        <v>1.2212581044807894E-2</v>
      </c>
      <c r="BW39" s="67">
        <f>$BQ39*WrightZucman!G60/WrightZucman!$B60</f>
        <v>1.7186610995150217E-2</v>
      </c>
      <c r="BX39" s="71">
        <f t="shared" si="10"/>
        <v>0</v>
      </c>
      <c r="BY39" s="71"/>
      <c r="BZ39" s="67">
        <f>Data!AR39*WrightZucman!B60</f>
        <v>0.13316750573638217</v>
      </c>
      <c r="CA39" s="67">
        <f>Data!D39*WrightZucman!B60</f>
        <v>0.20868551816598119</v>
      </c>
      <c r="CB39" s="73">
        <f>Data!Q39*WrightZucman!B60</f>
        <v>0.14218405229150236</v>
      </c>
      <c r="CC39" s="73">
        <f>WrightZucman!C60*Data!$Q39</f>
        <v>5.2428516019350967E-2</v>
      </c>
      <c r="CD39" s="73">
        <f>WrightZucman!D60*Data!$Q39</f>
        <v>2.9380909566212025E-2</v>
      </c>
      <c r="CE39" s="73">
        <f>WrightZucman!E60*Data!$Q39</f>
        <v>2.8984865102893172E-2</v>
      </c>
      <c r="CF39" s="73">
        <f>WrightZucman!F60*Data!$Q39</f>
        <v>1.3039474249270796E-2</v>
      </c>
      <c r="CG39" s="73">
        <f>WrightZucman!G60*Data!$Q39</f>
        <v>1.8350287353775408E-2</v>
      </c>
      <c r="CH39" s="71">
        <f t="shared" si="37"/>
        <v>0</v>
      </c>
      <c r="CI39" s="71"/>
      <c r="CJ39" s="53">
        <f t="shared" si="26"/>
        <v>365.29999999999995</v>
      </c>
      <c r="CK39" s="53">
        <v>311.89999999999998</v>
      </c>
      <c r="CL39" s="53">
        <v>53.4</v>
      </c>
      <c r="CM39" s="53">
        <f t="shared" si="11"/>
        <v>105.19903825734772</v>
      </c>
      <c r="CN39" s="56">
        <f t="shared" si="12"/>
        <v>0.29023603681328614</v>
      </c>
      <c r="CO39" s="56">
        <f>'[1]Assets(BoP)'!$BN108</f>
        <v>0.33522519831391689</v>
      </c>
      <c r="CQ39" s="54">
        <f t="shared" si="38"/>
        <v>0.90495041017376421</v>
      </c>
      <c r="CR39" s="54">
        <f t="shared" si="13"/>
        <v>0.79471053925950275</v>
      </c>
      <c r="CS39" s="54">
        <f t="shared" si="39"/>
        <v>0.72499292846980512</v>
      </c>
      <c r="CT39" s="54">
        <f t="shared" si="40"/>
        <v>0.96097191559513895</v>
      </c>
      <c r="CU39" s="54">
        <f t="shared" si="41"/>
        <v>0.90495041017376421</v>
      </c>
      <c r="CV39" s="54">
        <f t="shared" si="29"/>
        <v>5.67228425979384E-7</v>
      </c>
      <c r="CW39" s="54">
        <f t="shared" si="35"/>
        <v>0.85242878621523077</v>
      </c>
      <c r="CX39" s="54">
        <f t="shared" si="42"/>
        <v>4.5675481476246402E-7</v>
      </c>
      <c r="CY39" s="54">
        <f t="shared" si="30"/>
        <v>1.0314430302471852E-6</v>
      </c>
      <c r="CZ39" s="57">
        <f t="shared" si="14"/>
        <v>0.82644291659127922</v>
      </c>
      <c r="DA39" s="57">
        <f t="shared" si="15"/>
        <v>0.82644291659127911</v>
      </c>
      <c r="DB39" s="81">
        <f t="shared" si="31"/>
        <v>1.0314430302471853</v>
      </c>
    </row>
    <row r="40" spans="1:106" x14ac:dyDescent="0.2">
      <c r="A40" s="85">
        <v>2017</v>
      </c>
      <c r="B40" s="99">
        <v>1126485.3460000011</v>
      </c>
      <c r="C40" s="99">
        <v>548974.06599999953</v>
      </c>
      <c r="D40" s="67">
        <v>0.48733351743041592</v>
      </c>
      <c r="E40" s="99">
        <v>1018099.5330000001</v>
      </c>
      <c r="F40" s="99">
        <v>545806.18999999983</v>
      </c>
      <c r="G40" s="67">
        <v>0.53610297648569882</v>
      </c>
      <c r="H40" s="99">
        <v>1056784.6730000011</v>
      </c>
      <c r="I40" s="99">
        <v>541416.89345894498</v>
      </c>
      <c r="J40" s="67">
        <v>0.51232470274381492</v>
      </c>
      <c r="K40" s="98">
        <f t="shared" si="32"/>
        <v>0</v>
      </c>
      <c r="L40" s="98">
        <f t="shared" si="33"/>
        <v>0</v>
      </c>
      <c r="M40" s="98">
        <f t="shared" si="34"/>
        <v>0</v>
      </c>
      <c r="N40" s="98"/>
      <c r="O40" s="53">
        <v>978.19100000000003</v>
      </c>
      <c r="P40" s="109">
        <v>538.83299999999997</v>
      </c>
      <c r="Q40" s="54">
        <f t="shared" si="43"/>
        <v>0.35519082097580529</v>
      </c>
      <c r="R40" s="110">
        <f t="shared" si="44"/>
        <v>632.73861054499878</v>
      </c>
      <c r="S40" s="53">
        <f t="shared" si="50"/>
        <v>650.10199999999998</v>
      </c>
      <c r="T40" s="54">
        <f t="shared" si="45"/>
        <v>0.39277855866770917</v>
      </c>
      <c r="U40" s="56">
        <f t="shared" si="46"/>
        <v>0.39277855866770917</v>
      </c>
      <c r="V40" s="53">
        <v>105.566</v>
      </c>
      <c r="W40" s="53">
        <f>'[22]Table I.P 1'!$J$8/1000</f>
        <v>233.92699999999999</v>
      </c>
      <c r="X40" s="56">
        <f t="shared" si="48"/>
        <v>0.23914245786354607</v>
      </c>
      <c r="Y40" s="75">
        <f t="shared" si="0"/>
        <v>0.1959159888128604</v>
      </c>
      <c r="Z40" s="56">
        <f t="shared" si="51"/>
        <v>0.22378881283354779</v>
      </c>
      <c r="AA40" s="54">
        <f t="shared" si="1"/>
        <v>0.18643162022875007</v>
      </c>
      <c r="AB40" s="75">
        <f t="shared" si="49"/>
        <v>0.21981679261876777</v>
      </c>
      <c r="AD40" s="55">
        <f t="shared" si="2"/>
        <v>1708.8731105449983</v>
      </c>
      <c r="AE40" s="53">
        <f t="shared" si="3"/>
        <v>373.49450000000002</v>
      </c>
      <c r="AF40" s="53">
        <f t="shared" si="16"/>
        <v>1335.3786105449983</v>
      </c>
      <c r="AG40" s="55">
        <f t="shared" si="17"/>
        <v>1708.8731105449983</v>
      </c>
      <c r="AH40" s="53">
        <f t="shared" si="18"/>
        <v>1050.2514999999994</v>
      </c>
      <c r="AI40" s="53">
        <f t="shared" si="4"/>
        <v>658.62161054499882</v>
      </c>
      <c r="AJ40" s="53"/>
      <c r="AK40" s="55">
        <f t="shared" si="19"/>
        <v>2082.3676105449986</v>
      </c>
      <c r="AL40" s="53">
        <f t="shared" si="5"/>
        <v>1423.7459999999996</v>
      </c>
      <c r="AM40" s="53">
        <f t="shared" si="20"/>
        <v>658.62161054499882</v>
      </c>
      <c r="AN40" s="55">
        <f t="shared" si="21"/>
        <v>2082.3676105449986</v>
      </c>
      <c r="AO40" s="53">
        <f t="shared" si="22"/>
        <v>1335.3786105449985</v>
      </c>
      <c r="AP40" s="53">
        <v>746.98900000000003</v>
      </c>
      <c r="AQ40" s="53">
        <f t="shared" si="6"/>
        <v>0</v>
      </c>
      <c r="AR40" s="56">
        <f>Data!AM40/Data!AK40</f>
        <v>0.31628498599852117</v>
      </c>
      <c r="AS40" s="56">
        <f>Data!AI40/Data!AG40</f>
        <v>0.3854128235038759</v>
      </c>
      <c r="AT40" s="56">
        <f>596/(596+765)</f>
        <v>0.43791329904481996</v>
      </c>
      <c r="AV40" s="53">
        <f>'[1]Assets(BoP)'!$D109</f>
        <v>2128.9</v>
      </c>
      <c r="AW40" s="53">
        <v>78.8</v>
      </c>
      <c r="AX40" s="53">
        <f>'[1]Assets(BoP)'!$CI109</f>
        <v>236.304</v>
      </c>
      <c r="AY40" s="53">
        <f t="shared" si="7"/>
        <v>144.608</v>
      </c>
      <c r="AZ40" s="53">
        <f t="shared" si="23"/>
        <v>1958.4039999999998</v>
      </c>
      <c r="BA40" s="53">
        <v>534.65800000000002</v>
      </c>
      <c r="BB40" s="53">
        <f t="shared" si="24"/>
        <v>1423.7459999999996</v>
      </c>
      <c r="BC40" s="53">
        <v>508.77499999999998</v>
      </c>
      <c r="BD40" s="53">
        <v>25.882999999999999</v>
      </c>
      <c r="BE40" s="96">
        <f t="shared" si="8"/>
        <v>4.8410385704506426E-2</v>
      </c>
      <c r="BF40" s="53">
        <v>544.53599999999994</v>
      </c>
      <c r="BG40" s="107">
        <f t="shared" si="25"/>
        <v>632.73861054499878</v>
      </c>
      <c r="BI40" s="84">
        <f>'[1]Assets(BoP)'!$Q109</f>
        <v>305.2</v>
      </c>
      <c r="BK40" s="78">
        <v>144.608</v>
      </c>
      <c r="BL40" s="81">
        <v>160.50700000000001</v>
      </c>
      <c r="BM40" s="78">
        <f t="shared" si="47"/>
        <v>8.4999999999979536E-2</v>
      </c>
      <c r="BP40">
        <v>2017</v>
      </c>
      <c r="BQ40" s="56">
        <f>Data!AR40*WrightZucman!B61</f>
        <v>0.14476782673258928</v>
      </c>
      <c r="BR40" s="67">
        <f>$BQ40*WrightZucman!C61/WrightZucman!$B61</f>
        <v>4.7702810039711406E-2</v>
      </c>
      <c r="BS40" s="73">
        <f>WrightZucman!C61*Data!AS40-BR40</f>
        <v>1.0426015293022457E-2</v>
      </c>
      <c r="BT40" s="67">
        <f>$BQ40*WrightZucman!D61/WrightZucman!$B61</f>
        <v>3.4494553019560968E-2</v>
      </c>
      <c r="BU40" s="67">
        <f>$BQ40*WrightZucman!E61/WrightZucman!$B61</f>
        <v>2.1654333380604837E-2</v>
      </c>
      <c r="BV40" s="67">
        <f>$BQ40*WrightZucman!F61/WrightZucman!$B61</f>
        <v>2.0456891183417609E-2</v>
      </c>
      <c r="BW40" s="67">
        <f>$BQ40*WrightZucman!G61/WrightZucman!$B61</f>
        <v>2.0459239109294449E-2</v>
      </c>
      <c r="BX40" s="71">
        <f t="shared" si="10"/>
        <v>0</v>
      </c>
      <c r="BY40" s="71"/>
      <c r="BZ40" s="67">
        <f>Data!AR40*WrightZucman!B61</f>
        <v>0.14476782673258928</v>
      </c>
      <c r="CA40" s="67">
        <f>Data!D40*WrightZucman!B61</f>
        <v>0.22305900480739099</v>
      </c>
      <c r="CB40" s="73">
        <f>Data!Q40*WrightZucman!B61</f>
        <v>0.1625755426413821</v>
      </c>
      <c r="CC40" s="73">
        <f>WrightZucman!C61*Data!$Q40</f>
        <v>5.3570675216740145E-2</v>
      </c>
      <c r="CD40" s="73">
        <f>WrightZucman!D61*Data!$Q40</f>
        <v>3.8737686417617656E-2</v>
      </c>
      <c r="CE40" s="73">
        <f>WrightZucman!E61*Data!$Q40</f>
        <v>2.4318006834433737E-2</v>
      </c>
      <c r="CF40" s="73">
        <f>WrightZucman!F61*Data!$Q40</f>
        <v>2.2973268715590526E-2</v>
      </c>
      <c r="CG40" s="73">
        <f>WrightZucman!G61*Data!$Q40</f>
        <v>2.2975905457000022E-2</v>
      </c>
      <c r="CH40" s="71">
        <f t="shared" si="37"/>
        <v>2.7755575615628914E-17</v>
      </c>
      <c r="CI40" s="71"/>
      <c r="CJ40" s="53">
        <f t="shared" si="26"/>
        <v>299.60000000000002</v>
      </c>
      <c r="CK40" s="53">
        <v>245.4</v>
      </c>
      <c r="CL40" s="53">
        <v>54.2</v>
      </c>
      <c r="CM40" s="53">
        <f t="shared" si="11"/>
        <v>123.96361054499883</v>
      </c>
      <c r="CN40" s="56">
        <f t="shared" si="12"/>
        <v>0.24786135841877388</v>
      </c>
      <c r="CO40" s="56">
        <f>'[1]Assets(BoP)'!$BN109</f>
        <v>0.25715673044811493</v>
      </c>
      <c r="CQ40" s="54">
        <f t="shared" si="38"/>
        <v>0.88773355414094302</v>
      </c>
      <c r="CR40" s="54">
        <f t="shared" si="13"/>
        <v>0.81812225923489557</v>
      </c>
      <c r="CS40" s="54">
        <f t="shared" si="39"/>
        <v>0.68705443246197029</v>
      </c>
      <c r="CT40" s="54">
        <f t="shared" si="40"/>
        <v>0.93138738673546329</v>
      </c>
      <c r="CU40" s="54">
        <f t="shared" si="41"/>
        <v>0.88773355414094302</v>
      </c>
      <c r="CV40" s="54">
        <f t="shared" si="29"/>
        <v>5.9577245771940606E-7</v>
      </c>
      <c r="CW40" s="54">
        <f t="shared" si="35"/>
        <v>0.86260926850959641</v>
      </c>
      <c r="CX40" s="54">
        <f t="shared" si="42"/>
        <v>4.828232349306017E-7</v>
      </c>
      <c r="CY40" s="54">
        <f t="shared" si="30"/>
        <v>1.0129412823639232E-6</v>
      </c>
      <c r="CZ40" s="57">
        <f t="shared" si="14"/>
        <v>0.85158861972384647</v>
      </c>
      <c r="DA40" s="57">
        <f t="shared" si="15"/>
        <v>0.85158861972384636</v>
      </c>
      <c r="DB40" s="81">
        <f t="shared" si="31"/>
        <v>1.0129412823639232</v>
      </c>
    </row>
    <row r="41" spans="1:106" x14ac:dyDescent="0.2">
      <c r="A41" s="85">
        <v>2018</v>
      </c>
      <c r="B41" s="99">
        <v>1293487.0259999989</v>
      </c>
      <c r="C41" s="99">
        <v>634368.77200000081</v>
      </c>
      <c r="D41" s="67">
        <v>0.49043303817413109</v>
      </c>
      <c r="E41" s="99">
        <v>1186166.988999997</v>
      </c>
      <c r="F41" s="99">
        <v>614061.62200000044</v>
      </c>
      <c r="G41" s="67">
        <v>0.51768564434396169</v>
      </c>
      <c r="H41" s="99">
        <v>1227695.337999997</v>
      </c>
      <c r="I41" s="99">
        <v>625100.9555236724</v>
      </c>
      <c r="J41" s="67">
        <v>0.50916618820269044</v>
      </c>
      <c r="K41" s="98">
        <f t="shared" si="32"/>
        <v>0</v>
      </c>
      <c r="L41" s="98">
        <f t="shared" si="33"/>
        <v>0</v>
      </c>
      <c r="M41" s="98">
        <f t="shared" si="34"/>
        <v>0</v>
      </c>
      <c r="N41" s="98"/>
      <c r="O41" s="53">
        <v>1202.74</v>
      </c>
      <c r="P41" s="109">
        <v>556.23299999999995</v>
      </c>
      <c r="Q41" s="54">
        <f t="shared" si="43"/>
        <v>0.31622600233204262</v>
      </c>
      <c r="R41" s="110">
        <f t="shared" si="44"/>
        <v>673.29425823680458</v>
      </c>
      <c r="S41" s="53">
        <f t="shared" si="50"/>
        <v>684.53</v>
      </c>
      <c r="T41" s="54">
        <f t="shared" si="45"/>
        <v>0.35889230448787318</v>
      </c>
      <c r="U41" s="56">
        <f t="shared" si="46"/>
        <v>0.35889230448787318</v>
      </c>
      <c r="V41" s="53">
        <v>118.108</v>
      </c>
      <c r="W41" s="53">
        <f>'[23]Table I.P 1'!$J$8/1000</f>
        <v>218.916</v>
      </c>
      <c r="X41" s="56">
        <f t="shared" si="48"/>
        <v>0.18201440045230058</v>
      </c>
      <c r="Y41" s="75">
        <f t="shared" si="0"/>
        <v>0.21233547811798295</v>
      </c>
      <c r="Z41" s="56">
        <f t="shared" si="51"/>
        <v>0.1916027136289187</v>
      </c>
      <c r="AA41" s="54">
        <f t="shared" si="1"/>
        <v>0.20156120457112459</v>
      </c>
      <c r="AB41" s="75">
        <f t="shared" si="49"/>
        <v>0.18841777908902199</v>
      </c>
      <c r="AD41" s="55">
        <f t="shared" si="2"/>
        <v>1860.899789066917</v>
      </c>
      <c r="AE41" s="53">
        <f t="shared" si="3"/>
        <v>408.62346916988764</v>
      </c>
      <c r="AF41" s="53">
        <f t="shared" si="16"/>
        <v>1452.2763198970295</v>
      </c>
      <c r="AG41" s="55">
        <f t="shared" si="17"/>
        <v>1860.899789066917</v>
      </c>
      <c r="AH41" s="53">
        <f t="shared" si="18"/>
        <v>1159.2195308301125</v>
      </c>
      <c r="AI41" s="53">
        <f t="shared" si="4"/>
        <v>701.68025823680455</v>
      </c>
      <c r="AJ41" s="53"/>
      <c r="AK41" s="55">
        <f t="shared" si="19"/>
        <v>2269.5232582368044</v>
      </c>
      <c r="AL41" s="53">
        <f t="shared" si="5"/>
        <v>1567.8430000000001</v>
      </c>
      <c r="AM41" s="53">
        <f t="shared" si="20"/>
        <v>701.68025823680455</v>
      </c>
      <c r="AN41" s="55">
        <f t="shared" si="21"/>
        <v>2269.5232582368044</v>
      </c>
      <c r="AO41" s="53">
        <f t="shared" si="22"/>
        <v>1452.2763198970292</v>
      </c>
      <c r="AP41" s="53">
        <v>817.24693833977528</v>
      </c>
      <c r="AQ41" s="53">
        <f t="shared" si="6"/>
        <v>0</v>
      </c>
      <c r="AR41" s="56">
        <f>Data!AM41/Data!AK41</f>
        <v>0.30917517839492903</v>
      </c>
      <c r="AS41" s="56">
        <f>Data!AI41/Data!AG41</f>
        <v>0.37706504259890183</v>
      </c>
      <c r="AT41" s="56">
        <f>658/(658+856)</f>
        <v>0.43461030383091148</v>
      </c>
      <c r="AV41" s="53">
        <f>'[1]Assets(BoP)'!$D110</f>
        <v>2305</v>
      </c>
      <c r="AW41" s="53">
        <v>63.5</v>
      </c>
      <c r="AX41" s="53">
        <f>'[1]Assets(BoP)'!$CI110</f>
        <v>273.51600000000002</v>
      </c>
      <c r="AY41" s="53">
        <f t="shared" si="7"/>
        <v>159.28</v>
      </c>
      <c r="AZ41" s="53">
        <f t="shared" si="23"/>
        <v>2127.2640000000001</v>
      </c>
      <c r="BA41" s="53">
        <v>559.42100000000005</v>
      </c>
      <c r="BB41" s="53">
        <f t="shared" si="24"/>
        <v>1567.8430000000001</v>
      </c>
      <c r="BC41" s="53">
        <v>530.33000000000004</v>
      </c>
      <c r="BD41" s="53">
        <v>28.385999999999999</v>
      </c>
      <c r="BE41" s="96">
        <f t="shared" si="8"/>
        <v>5.0741749058401446E-2</v>
      </c>
      <c r="BF41" s="53">
        <v>566.42200000000003</v>
      </c>
      <c r="BG41" s="107">
        <f t="shared" si="25"/>
        <v>673.29425823680458</v>
      </c>
      <c r="BI41" s="84">
        <f>'[1]Assets(BoP)'!$Q110</f>
        <v>344.4</v>
      </c>
      <c r="BK41" s="78">
        <v>159.28</v>
      </c>
      <c r="BL41" s="81">
        <v>185.042</v>
      </c>
      <c r="BM41" s="78">
        <f t="shared" si="47"/>
        <v>7.7999999999974534E-2</v>
      </c>
      <c r="BP41">
        <v>2018</v>
      </c>
      <c r="BQ41" s="56">
        <f>Data!AR41*WrightZucman!B62</f>
        <v>0.146447626448033</v>
      </c>
      <c r="BR41" s="67">
        <f>$BQ41*WrightZucman!C62/WrightZucman!$B62</f>
        <v>5.5359194919074116E-2</v>
      </c>
      <c r="BS41" s="73">
        <f>WrightZucman!C62*Data!AS41-BR41</f>
        <v>1.2155983041744874E-2</v>
      </c>
      <c r="BT41" s="67">
        <f>$BQ41*WrightZucman!D62/WrightZucman!$B62</f>
        <v>1.7478867057162988E-2</v>
      </c>
      <c r="BU41" s="67">
        <f>$BQ41*WrightZucman!E62/WrightZucman!$B62</f>
        <v>2.2394694197452669E-2</v>
      </c>
      <c r="BV41" s="67">
        <f>$BQ41*WrightZucman!F62/WrightZucman!$B62</f>
        <v>2.2034511476183141E-2</v>
      </c>
      <c r="BW41" s="67">
        <f>$BQ41*WrightZucman!G62/WrightZucman!$B62</f>
        <v>2.9180358798160094E-2</v>
      </c>
      <c r="BX41" s="71">
        <f t="shared" si="10"/>
        <v>0</v>
      </c>
      <c r="BY41" s="71"/>
      <c r="BZ41" s="67">
        <f>Data!AR41*WrightZucman!B62</f>
        <v>0.146447626448033</v>
      </c>
      <c r="CA41" s="67">
        <f>Data!D41*WrightZucman!B62</f>
        <v>0.23230440019526827</v>
      </c>
      <c r="CB41" s="73">
        <f>Data!Q41*WrightZucman!B62</f>
        <v>0.14978740435470014</v>
      </c>
      <c r="CC41" s="73">
        <f>WrightZucman!C62*Data!$Q41</f>
        <v>5.6621676398671272E-2</v>
      </c>
      <c r="CD41" s="73">
        <f>WrightZucman!D62*Data!$Q41</f>
        <v>1.787747736889651E-2</v>
      </c>
      <c r="CE41" s="73">
        <f>WrightZucman!E62*Data!$Q41</f>
        <v>2.2905411282606383E-2</v>
      </c>
      <c r="CF41" s="73">
        <f>WrightZucman!F62*Data!$Q41</f>
        <v>2.2537014496527237E-2</v>
      </c>
      <c r="CG41" s="73">
        <f>WrightZucman!G62*Data!$Q41</f>
        <v>2.9845824807998758E-2</v>
      </c>
      <c r="CH41" s="71">
        <f t="shared" si="37"/>
        <v>0</v>
      </c>
      <c r="CI41" s="71"/>
      <c r="CJ41" s="53">
        <f t="shared" si="26"/>
        <v>269.3</v>
      </c>
      <c r="CK41" s="53">
        <v>208.8</v>
      </c>
      <c r="CL41" s="53">
        <v>60.5</v>
      </c>
      <c r="CM41" s="53">
        <f t="shared" si="11"/>
        <v>142.9642582368046</v>
      </c>
      <c r="CN41" s="56">
        <f t="shared" si="12"/>
        <v>0.22154027887956293</v>
      </c>
      <c r="CO41" s="56">
        <f>'[1]Assets(BoP)'!$BN110</f>
        <v>0.21610621454907691</v>
      </c>
      <c r="CQ41" s="54">
        <f t="shared" si="38"/>
        <v>0.94522714782077288</v>
      </c>
      <c r="CR41" s="54">
        <f t="shared" si="13"/>
        <v>0.79271576116123432</v>
      </c>
      <c r="CS41" s="54">
        <f t="shared" si="39"/>
        <v>0.76713038231506592</v>
      </c>
      <c r="CT41" s="54">
        <f t="shared" si="40"/>
        <v>1.0375429053880094</v>
      </c>
      <c r="CU41" s="54">
        <f t="shared" si="41"/>
        <v>0.94522714782077288</v>
      </c>
      <c r="CV41" s="54">
        <f t="shared" si="29"/>
        <v>6.3741583290455365E-7</v>
      </c>
      <c r="CW41" s="54">
        <f t="shared" si="35"/>
        <v>0.91202563290541017</v>
      </c>
      <c r="CX41" s="54">
        <f t="shared" si="42"/>
        <v>4.7566836307098513E-7</v>
      </c>
      <c r="CY41" s="54">
        <f t="shared" si="30"/>
        <v>1.10396474498996E-6</v>
      </c>
      <c r="CZ41" s="57">
        <f t="shared" si="14"/>
        <v>0.82613655648369877</v>
      </c>
      <c r="DA41" s="57">
        <f t="shared" si="15"/>
        <v>0.82613655648369866</v>
      </c>
      <c r="DB41" s="81">
        <f t="shared" si="31"/>
        <v>1.1039647449899601</v>
      </c>
    </row>
    <row r="42" spans="1:106" x14ac:dyDescent="0.2">
      <c r="A42" s="85">
        <v>2019</v>
      </c>
      <c r="B42" s="99">
        <v>1221693.151000001</v>
      </c>
      <c r="C42" s="99">
        <v>571134.51599999936</v>
      </c>
      <c r="D42" s="67">
        <v>0.4674942439781255</v>
      </c>
      <c r="E42" s="99">
        <v>1081752.125</v>
      </c>
      <c r="F42" s="99">
        <v>559740.72899999854</v>
      </c>
      <c r="G42" s="67">
        <v>0.51743899185776843</v>
      </c>
      <c r="H42" s="99">
        <v>1128955.0730000001</v>
      </c>
      <c r="I42" s="99">
        <v>568699.9865522153</v>
      </c>
      <c r="J42" s="67">
        <v>0.50374014002257406</v>
      </c>
      <c r="K42" s="98">
        <f t="shared" si="32"/>
        <v>0</v>
      </c>
      <c r="L42" s="98">
        <f t="shared" si="33"/>
        <v>0</v>
      </c>
      <c r="M42" s="98">
        <f t="shared" si="34"/>
        <v>0</v>
      </c>
      <c r="N42" s="98"/>
      <c r="O42" s="53">
        <v>1139.434</v>
      </c>
      <c r="P42" s="109">
        <f>WrightZucman!O63</f>
        <v>510.84699999999998</v>
      </c>
      <c r="Q42" s="54">
        <f t="shared" si="43"/>
        <v>0.3095515248615236</v>
      </c>
      <c r="R42" s="110">
        <f t="shared" si="44"/>
        <v>691.08971658542941</v>
      </c>
      <c r="S42" s="53">
        <f t="shared" si="50"/>
        <v>660.71800000000007</v>
      </c>
      <c r="T42" s="54">
        <f t="shared" si="45"/>
        <v>0.37753660896268243</v>
      </c>
      <c r="U42" s="56">
        <f t="shared" si="46"/>
        <v>0.37753660896268243</v>
      </c>
      <c r="V42" s="53">
        <v>111.605</v>
      </c>
      <c r="W42" s="53">
        <f>'[24]Table I.P 1'!$J$8/1000</f>
        <v>207.239</v>
      </c>
      <c r="X42" s="56">
        <f t="shared" si="48"/>
        <v>0.18187889776854124</v>
      </c>
      <c r="Y42" s="75">
        <f t="shared" si="0"/>
        <v>0.21847050095233994</v>
      </c>
      <c r="Z42" s="56">
        <f t="shared" si="51"/>
        <v>0.19320588433121391</v>
      </c>
      <c r="AA42" s="54">
        <f t="shared" si="1"/>
        <v>0.20894400434537894</v>
      </c>
      <c r="AB42" s="75">
        <f t="shared" si="49"/>
        <v>0.19051701303423058</v>
      </c>
      <c r="AD42" s="55">
        <f t="shared" si="2"/>
        <v>1938.8336400776684</v>
      </c>
      <c r="AE42" s="53">
        <f t="shared" si="3"/>
        <v>424.93907650776123</v>
      </c>
      <c r="AF42" s="53">
        <f t="shared" si="16"/>
        <v>1513.8945635699072</v>
      </c>
      <c r="AG42" s="55">
        <f t="shared" si="17"/>
        <v>1938.8336400776684</v>
      </c>
      <c r="AH42" s="53">
        <f t="shared" si="18"/>
        <v>1223.9769234922389</v>
      </c>
      <c r="AI42" s="53">
        <f t="shared" si="4"/>
        <v>714.85671658542947</v>
      </c>
      <c r="AJ42" s="53"/>
      <c r="AK42" s="55">
        <f t="shared" si="19"/>
        <v>2363.7727165854294</v>
      </c>
      <c r="AL42" s="53">
        <f t="shared" si="5"/>
        <v>1648.9160000000002</v>
      </c>
      <c r="AM42" s="53">
        <f t="shared" si="20"/>
        <v>714.85671658542947</v>
      </c>
      <c r="AN42" s="55">
        <f t="shared" si="21"/>
        <v>2363.7727165854294</v>
      </c>
      <c r="AO42" s="53">
        <f t="shared" si="22"/>
        <v>1513.8945635699069</v>
      </c>
      <c r="AP42" s="53">
        <v>849.87815301552246</v>
      </c>
      <c r="AQ42" s="53">
        <f t="shared" si="6"/>
        <v>0</v>
      </c>
      <c r="AR42" s="56">
        <f>Data!AM42/Data!AK42</f>
        <v>0.30242193404197953</v>
      </c>
      <c r="AS42" s="56">
        <f>Data!AI42/Data!AG42</f>
        <v>0.36870451482201061</v>
      </c>
      <c r="AT42" s="56">
        <f>602/(602+911)</f>
        <v>0.39788499669530736</v>
      </c>
      <c r="AV42" s="53">
        <f>'[1]Assets(BoP)'!$D111</f>
        <v>2367.8000000000002</v>
      </c>
      <c r="AW42" s="53">
        <v>54.9</v>
      </c>
      <c r="AX42" s="53">
        <f>'[1]Assets(BoP)'!$CI111</f>
        <v>286.73899999999998</v>
      </c>
      <c r="AY42" s="53">
        <f t="shared" si="7"/>
        <v>167.80199999999999</v>
      </c>
      <c r="AZ42" s="53">
        <f t="shared" si="23"/>
        <v>2193.9630000000002</v>
      </c>
      <c r="BA42" s="53">
        <v>545.04700000000003</v>
      </c>
      <c r="BB42" s="53">
        <f t="shared" si="24"/>
        <v>1648.9160000000002</v>
      </c>
      <c r="BC42" s="53">
        <v>540.10699999999997</v>
      </c>
      <c r="BD42" s="53">
        <v>23.766999999999999</v>
      </c>
      <c r="BE42" s="96">
        <f t="shared" si="8"/>
        <v>4.3605413845044551E-2</v>
      </c>
      <c r="BF42" s="53">
        <v>549.11300000000006</v>
      </c>
      <c r="BG42" s="107">
        <f t="shared" si="25"/>
        <v>691.08971658542941</v>
      </c>
      <c r="BI42" s="84">
        <f>'[1]Assets(BoP)'!$Q111</f>
        <v>351.3</v>
      </c>
      <c r="BK42" s="78">
        <v>167.80199999999999</v>
      </c>
      <c r="BL42" s="81">
        <v>183.339</v>
      </c>
      <c r="BM42" s="78">
        <f t="shared" si="47"/>
        <v>0.15900000000002024</v>
      </c>
      <c r="BP42">
        <v>2019</v>
      </c>
      <c r="BQ42" s="56">
        <f>Data!AR42*WrightZucman!B63</f>
        <v>0.13677946268190516</v>
      </c>
      <c r="BR42" s="67">
        <f>$BQ42*WrightZucman!C63/WrightZucman!$B63</f>
        <v>4.9163906916130026E-2</v>
      </c>
      <c r="BS42" s="73">
        <f>WrightZucman!C63*Data!AS42-BR42</f>
        <v>1.0775377923408068E-2</v>
      </c>
      <c r="BT42" s="67">
        <f>$BQ42*WrightZucman!D63/WrightZucman!$B63</f>
        <v>1.8618431400439381E-2</v>
      </c>
      <c r="BU42" s="67">
        <f>$BQ42*WrightZucman!E63/WrightZucman!$B63</f>
        <v>2.4053592566971465E-2</v>
      </c>
      <c r="BV42" s="67">
        <f>$BQ42*WrightZucman!F63/WrightZucman!$B63</f>
        <v>1.8533775257664729E-2</v>
      </c>
      <c r="BW42" s="67">
        <f>$BQ42*WrightZucman!G63/WrightZucman!$B63</f>
        <v>2.6409756540699561E-2</v>
      </c>
      <c r="BX42" s="71">
        <f t="shared" si="10"/>
        <v>0</v>
      </c>
      <c r="BY42" s="71"/>
      <c r="BZ42" s="67">
        <f>Data!AR42*WrightZucman!B63</f>
        <v>0.13677946268190516</v>
      </c>
      <c r="CA42" s="67">
        <f>Data!D42*WrightZucman!B63</f>
        <v>0.21143840542113387</v>
      </c>
      <c r="CB42" s="73">
        <f>Data!Q42*WrightZucman!B63</f>
        <v>0.14000403567634845</v>
      </c>
      <c r="CC42" s="73">
        <f>WrightZucman!C63*Data!$Q42</f>
        <v>5.032294500148763E-2</v>
      </c>
      <c r="CD42" s="73">
        <f>WrightZucman!D63*Data!$Q42</f>
        <v>1.9057360534357481E-2</v>
      </c>
      <c r="CE42" s="73">
        <f>WrightZucman!E63*Data!$Q42</f>
        <v>2.4620655512606643E-2</v>
      </c>
      <c r="CF42" s="73">
        <f>WrightZucman!F63*Data!$Q42</f>
        <v>1.89707086247736E-2</v>
      </c>
      <c r="CG42" s="73">
        <f>WrightZucman!G63*Data!$Q42</f>
        <v>2.7032366003123105E-2</v>
      </c>
      <c r="CH42" s="71">
        <f t="shared" si="37"/>
        <v>0</v>
      </c>
      <c r="CI42" s="71"/>
      <c r="CJ42" s="53">
        <f t="shared" si="26"/>
        <v>286.5</v>
      </c>
      <c r="CK42" s="53">
        <v>217</v>
      </c>
      <c r="CL42" s="53">
        <v>69.5</v>
      </c>
      <c r="CM42" s="53">
        <f t="shared" si="11"/>
        <v>150.98271658542939</v>
      </c>
      <c r="CN42" s="56">
        <f t="shared" si="12"/>
        <v>0.2256422147533525</v>
      </c>
      <c r="CO42" s="56">
        <f>'[1]Assets(BoP)'!$BN111</f>
        <v>0.2248645726111568</v>
      </c>
      <c r="CQ42" s="54">
        <f t="shared" si="38"/>
        <v>0.85117204791943402</v>
      </c>
      <c r="CR42" s="54">
        <f t="shared" si="13"/>
        <v>0.71461453484007498</v>
      </c>
      <c r="CS42" s="54">
        <f t="shared" si="39"/>
        <v>0.69102003983222904</v>
      </c>
      <c r="CT42" s="54">
        <f t="shared" si="40"/>
        <v>0.93092768182996299</v>
      </c>
      <c r="CU42" s="54">
        <f t="shared" si="41"/>
        <v>0.85117204791943402</v>
      </c>
      <c r="CV42" s="54">
        <f t="shared" si="29"/>
        <v>5.5793963063105592E-7</v>
      </c>
      <c r="CW42" s="54">
        <f t="shared" si="35"/>
        <v>0.8099393111586054</v>
      </c>
      <c r="CX42" s="54">
        <f t="shared" si="42"/>
        <v>4.5813219194793331E-7</v>
      </c>
      <c r="CY42" s="54">
        <f t="shared" si="30"/>
        <v>1.0957111013669428E-6</v>
      </c>
      <c r="CZ42" s="57">
        <f t="shared" si="14"/>
        <v>0.73919056779489989</v>
      </c>
      <c r="DA42" s="57">
        <f t="shared" si="15"/>
        <v>0.73919056779489989</v>
      </c>
      <c r="DB42" s="81">
        <f t="shared" si="31"/>
        <v>1.0957111013669427</v>
      </c>
    </row>
    <row r="43" spans="1:106" x14ac:dyDescent="0.2">
      <c r="A43" s="85">
        <v>2020</v>
      </c>
      <c r="B43" s="99">
        <v>1089644.9679999989</v>
      </c>
      <c r="C43" s="99">
        <v>452252.43499999982</v>
      </c>
      <c r="D43" s="67">
        <v>0.41504567843789658</v>
      </c>
      <c r="E43" s="99">
        <v>760867.57400000014</v>
      </c>
      <c r="F43" s="99">
        <v>414037.45999999938</v>
      </c>
      <c r="G43" s="67">
        <v>0.5441649429523453</v>
      </c>
      <c r="H43" s="99">
        <v>939797.8580000014</v>
      </c>
      <c r="I43" s="99">
        <v>435283.76194390882</v>
      </c>
      <c r="J43" s="67">
        <v>0.46316743354814938</v>
      </c>
      <c r="K43" s="98">
        <f t="shared" si="32"/>
        <v>0</v>
      </c>
      <c r="L43" s="98">
        <f t="shared" si="33"/>
        <v>0</v>
      </c>
      <c r="M43" s="98">
        <f t="shared" si="34"/>
        <v>0</v>
      </c>
      <c r="N43" s="98"/>
      <c r="O43" s="53">
        <v>686.94100000000003</v>
      </c>
      <c r="P43" s="109">
        <f>WrightZucman!O64</f>
        <v>431.99100000000004</v>
      </c>
      <c r="Q43" s="54">
        <f t="shared" si="43"/>
        <v>0.38607439951668199</v>
      </c>
      <c r="R43" s="110">
        <f t="shared" si="44"/>
        <v>565.91376685599494</v>
      </c>
      <c r="S43" s="53">
        <f t="shared" si="50"/>
        <v>573.39499999999998</v>
      </c>
      <c r="T43" s="54">
        <f t="shared" si="45"/>
        <v>0.45169941626685123</v>
      </c>
      <c r="U43" s="56">
        <f t="shared" si="46"/>
        <v>0.45169941626685123</v>
      </c>
      <c r="V43" s="112">
        <v>91.489000000000004</v>
      </c>
      <c r="W43" s="53">
        <v>130.321</v>
      </c>
      <c r="X43" s="56">
        <f t="shared" si="48"/>
        <v>0.18971207134237145</v>
      </c>
      <c r="Y43" s="75">
        <f t="shared" si="0"/>
        <v>0.21178450476977528</v>
      </c>
      <c r="Z43" s="56">
        <f t="shared" ref="Z43" si="52">(V43+W43)/(O43+P43)</f>
        <v>0.19823367282372834</v>
      </c>
      <c r="AA43" s="54">
        <f t="shared" si="1"/>
        <v>0.19642660961737876</v>
      </c>
      <c r="AB43" s="75">
        <f t="shared" si="49"/>
        <v>0.19242516926740683</v>
      </c>
      <c r="AD43" s="55">
        <f t="shared" si="2"/>
        <v>1785.6163021342331</v>
      </c>
      <c r="AE43" s="53">
        <f t="shared" si="3"/>
        <v>409.97546472176208</v>
      </c>
      <c r="AF43" s="53">
        <f t="shared" si="16"/>
        <v>1375.640837412471</v>
      </c>
      <c r="AG43" s="55">
        <f t="shared" si="17"/>
        <v>1785.6163021342331</v>
      </c>
      <c r="AH43" s="53">
        <f t="shared" si="18"/>
        <v>1185.0785352782382</v>
      </c>
      <c r="AI43" s="53">
        <f t="shared" si="4"/>
        <v>600.53776685599496</v>
      </c>
      <c r="AJ43" s="53"/>
      <c r="AK43" s="55">
        <f t="shared" si="19"/>
        <v>2195.591766855995</v>
      </c>
      <c r="AL43" s="53">
        <f t="shared" si="5"/>
        <v>1595.0540000000003</v>
      </c>
      <c r="AM43" s="53">
        <f t="shared" si="20"/>
        <v>600.53776685599496</v>
      </c>
      <c r="AN43" s="55">
        <f t="shared" si="21"/>
        <v>2195.591766855995</v>
      </c>
      <c r="AO43" s="53">
        <f t="shared" si="22"/>
        <v>1375.6408374124708</v>
      </c>
      <c r="AP43" s="53">
        <v>819.95092944352416</v>
      </c>
      <c r="AQ43" s="53">
        <f t="shared" si="6"/>
        <v>0</v>
      </c>
      <c r="AR43" s="56">
        <f>Data!AM43/Data!AK43</f>
        <v>0.27351977536149286</v>
      </c>
      <c r="AS43" s="56">
        <f>Data!AI43/Data!AG43</f>
        <v>0.33631960356668478</v>
      </c>
      <c r="AT43" s="56"/>
      <c r="AV43" s="53">
        <f>'[1]Assets(BoP)'!$D112</f>
        <v>2243.8000000000002</v>
      </c>
      <c r="AW43" s="53">
        <v>88.5</v>
      </c>
      <c r="AX43" s="53">
        <f>'[1]Assets(BoP)'!$CI112</f>
        <v>255.82400000000001</v>
      </c>
      <c r="AY43" s="53">
        <f t="shared" si="7"/>
        <v>173.041</v>
      </c>
      <c r="AZ43" s="53">
        <f t="shared" si="23"/>
        <v>2072.5170000000003</v>
      </c>
      <c r="BA43" s="53">
        <v>477.46300000000002</v>
      </c>
      <c r="BB43" s="53">
        <f t="shared" si="24"/>
        <v>1595.0540000000003</v>
      </c>
      <c r="BC43" s="53">
        <v>446.06200000000001</v>
      </c>
      <c r="BD43" s="53">
        <v>34.624000000000002</v>
      </c>
      <c r="BE43" s="96">
        <f t="shared" si="8"/>
        <v>7.2516613852801157E-2</v>
      </c>
      <c r="BF43" s="53">
        <v>481.90600000000001</v>
      </c>
      <c r="BG43" s="107">
        <f t="shared" si="25"/>
        <v>565.91376685599494</v>
      </c>
      <c r="BI43" s="84">
        <f>'[1]Assets(BoP)'!$Q112</f>
        <v>311.2</v>
      </c>
      <c r="BK43" s="78">
        <v>173.041</v>
      </c>
      <c r="BL43" s="81">
        <v>137.923</v>
      </c>
      <c r="BM43" s="78">
        <f t="shared" si="47"/>
        <v>0.23599999999999</v>
      </c>
      <c r="BP43">
        <v>2020</v>
      </c>
      <c r="BQ43" s="56">
        <f>Data!AR43*WrightZucman!B64</f>
        <v>0.13167339024129388</v>
      </c>
      <c r="BR43" s="67">
        <f>$BQ43*WrightZucman!C64/WrightZucman!$B64</f>
        <v>5.6211384350178535E-2</v>
      </c>
      <c r="BS43" s="73">
        <f>WrightZucman!C64*Data!AS43-BR43</f>
        <v>1.2906069682536749E-2</v>
      </c>
      <c r="BT43" s="67">
        <f>$BQ43*WrightZucman!D64/WrightZucman!$B64</f>
        <v>1.8419281385587176E-2</v>
      </c>
      <c r="BU43" s="67">
        <f>$BQ43*WrightZucman!E64/WrightZucman!$B64</f>
        <v>1.5797995594918898E-2</v>
      </c>
      <c r="BV43" s="67">
        <f>$BQ43*WrightZucman!F64/WrightZucman!$B64</f>
        <v>1.2912048581907781E-2</v>
      </c>
      <c r="BW43" s="67">
        <f>$BQ43*WrightZucman!G64/WrightZucman!$B64</f>
        <v>2.8332680328701485E-2</v>
      </c>
      <c r="BX43" s="71">
        <f t="shared" si="10"/>
        <v>0</v>
      </c>
      <c r="BY43" s="71"/>
      <c r="BZ43" s="67">
        <f>Data!AR43*WrightZucman!B64</f>
        <v>0.13167339024129388</v>
      </c>
      <c r="CA43" s="67">
        <f>Data!D43*WrightZucman!B64</f>
        <v>0.19980446208208469</v>
      </c>
      <c r="CB43" s="73">
        <f>Data!Q43*WrightZucman!B64</f>
        <v>0.18585758562629365</v>
      </c>
      <c r="CC43" s="73">
        <f>WrightZucman!C64*Data!$Q43</f>
        <v>7.9342623144212518E-2</v>
      </c>
      <c r="CD43" s="73">
        <f>WrightZucman!D64*Data!$Q43</f>
        <v>2.5998898950070248E-2</v>
      </c>
      <c r="CE43" s="73">
        <f>WrightZucman!E64*Data!$Q43</f>
        <v>2.22989422056032E-2</v>
      </c>
      <c r="CF43" s="73">
        <f>WrightZucman!F64*Data!$Q43</f>
        <v>1.8225414949255184E-2</v>
      </c>
      <c r="CG43" s="73">
        <f>WrightZucman!G64*Data!$Q43</f>
        <v>3.9991706377152499E-2</v>
      </c>
      <c r="CH43" s="71">
        <f t="shared" si="37"/>
        <v>0</v>
      </c>
      <c r="CI43" s="71"/>
      <c r="CJ43" s="53">
        <f t="shared" si="26"/>
        <v>268.5</v>
      </c>
      <c r="CK43" s="53">
        <v>192.7</v>
      </c>
      <c r="CL43" s="53">
        <v>75.8</v>
      </c>
      <c r="CM43" s="53">
        <f t="shared" si="11"/>
        <v>119.85176685599497</v>
      </c>
      <c r="CN43" s="56">
        <f t="shared" si="12"/>
        <v>0.21748892323161639</v>
      </c>
      <c r="CO43" s="56">
        <f>'[1]Assets(BoP)'!$BN112</f>
        <v>0.22776133934816284</v>
      </c>
      <c r="CQ43" s="54"/>
      <c r="CR43" s="54">
        <f t="shared" si="13"/>
        <v>0.7193402710733906</v>
      </c>
      <c r="CS43" s="54"/>
      <c r="CT43" s="54"/>
      <c r="CU43" s="54"/>
      <c r="CV43" s="54"/>
      <c r="CW43" s="54">
        <f t="shared" si="35"/>
        <v>0.73162641421543173</v>
      </c>
      <c r="CX43" s="54"/>
      <c r="CY43" s="54">
        <f t="shared" si="30"/>
        <v>9.5844001379658218E-7</v>
      </c>
      <c r="CZ43" s="57">
        <f t="shared" si="14"/>
        <v>0.76335128300550159</v>
      </c>
      <c r="DA43" s="57">
        <f t="shared" si="15"/>
        <v>0.76335128300550159</v>
      </c>
      <c r="DB43" s="81">
        <f>(F43/1000)/P43</f>
        <v>0.95844001379658217</v>
      </c>
    </row>
    <row r="44" spans="1:106" x14ac:dyDescent="0.2">
      <c r="B44"/>
      <c r="C44"/>
      <c r="D44"/>
      <c r="E44"/>
      <c r="F44"/>
      <c r="G44"/>
      <c r="H44" s="99"/>
      <c r="I44" s="99"/>
      <c r="J44"/>
      <c r="K44" s="98"/>
      <c r="L44" s="98"/>
      <c r="M44" s="98"/>
      <c r="N44" s="98"/>
      <c r="O44" s="53">
        <v>1738.953</v>
      </c>
      <c r="P44" s="109">
        <v>614.62699999999995</v>
      </c>
      <c r="Q44" s="54">
        <f t="shared" si="43"/>
        <v>0.26114557397666532</v>
      </c>
      <c r="X44" s="86"/>
      <c r="AD44" s="55"/>
      <c r="AE44" s="55"/>
      <c r="AF44" s="55"/>
      <c r="AS44" s="79"/>
      <c r="AT44" s="79"/>
      <c r="AV44" s="53"/>
      <c r="AW44" s="53"/>
      <c r="AX44" s="53"/>
      <c r="AY44" s="53"/>
      <c r="AZ44" s="53"/>
      <c r="BA44" s="53">
        <v>598.9</v>
      </c>
      <c r="BB44" s="53"/>
      <c r="BC44" s="53">
        <v>567.52200000000005</v>
      </c>
      <c r="BD44" s="53">
        <v>35.279000000000003</v>
      </c>
      <c r="BF44" s="53">
        <v>601.94000000000005</v>
      </c>
      <c r="BI44" s="81"/>
      <c r="BP44"/>
      <c r="BQ44" s="111"/>
      <c r="BR44"/>
      <c r="BS44"/>
      <c r="BT44"/>
      <c r="BU44"/>
      <c r="BV44"/>
      <c r="BW44"/>
      <c r="BX44" s="69"/>
      <c r="BY44" s="69"/>
      <c r="BZ44"/>
      <c r="CA44"/>
      <c r="CB44"/>
      <c r="CC44"/>
      <c r="CD44"/>
      <c r="CE44"/>
      <c r="CF44"/>
      <c r="CG44"/>
      <c r="CH44"/>
      <c r="CI44"/>
      <c r="CJ44" s="53"/>
      <c r="CK44" s="53"/>
      <c r="CL44" s="53"/>
      <c r="CM44" s="53"/>
      <c r="CN44" s="79"/>
      <c r="CO44" s="79"/>
      <c r="CZ44" s="81"/>
      <c r="DA44" s="81"/>
    </row>
    <row r="45" spans="1:106" x14ac:dyDescent="0.2">
      <c r="A45" s="78" t="s">
        <v>143</v>
      </c>
      <c r="D45" s="101">
        <f>D43-D40</f>
        <v>-7.2287838992519338E-2</v>
      </c>
      <c r="E45" s="102"/>
      <c r="F45" s="102"/>
      <c r="G45" s="101">
        <f>G43-G40</f>
        <v>8.0619664666464752E-3</v>
      </c>
      <c r="H45" s="102"/>
      <c r="I45" s="102"/>
      <c r="J45" s="101">
        <f>J43-J40</f>
        <v>-4.9157269195665543E-2</v>
      </c>
      <c r="Q45" s="101">
        <f>Q43-Q40</f>
        <v>3.0883578540876699E-2</v>
      </c>
      <c r="T45" s="101">
        <f>T43-T40</f>
        <v>5.8920857599142062E-2</v>
      </c>
      <c r="U45" s="101"/>
      <c r="V45" s="101"/>
      <c r="W45" s="78">
        <f>(O42+P42)/AK42</f>
        <v>0.69815553264524577</v>
      </c>
      <c r="AS45" s="79"/>
      <c r="AT45" s="79"/>
      <c r="AV45" s="53"/>
      <c r="AW45" s="53"/>
      <c r="AX45" s="53"/>
      <c r="AY45" s="53"/>
      <c r="AZ45" s="53"/>
      <c r="BA45" s="53"/>
      <c r="BB45" s="53"/>
      <c r="BC45" s="53">
        <v>587.42399999999998</v>
      </c>
      <c r="BD45" s="78">
        <v>36.356000000000002</v>
      </c>
      <c r="BI45" s="81"/>
      <c r="CJ45" s="79"/>
      <c r="CK45" s="53"/>
      <c r="CL45" s="79"/>
      <c r="CM45" s="79"/>
      <c r="CN45" s="79"/>
      <c r="CO45" s="79"/>
      <c r="CZ45" s="81"/>
      <c r="DA45" s="81"/>
    </row>
    <row r="46" spans="1:106" x14ac:dyDescent="0.2">
      <c r="AD46" s="103"/>
      <c r="AV46" s="53"/>
      <c r="AW46" s="53"/>
      <c r="AX46" s="53"/>
      <c r="AY46" s="53"/>
      <c r="AZ46" s="53"/>
      <c r="BA46" s="53"/>
      <c r="BB46" s="53"/>
      <c r="BC46" s="53"/>
      <c r="BI46" s="81"/>
      <c r="CK46" s="53"/>
    </row>
    <row r="47" spans="1:106" x14ac:dyDescent="0.2">
      <c r="BS47" s="104"/>
    </row>
    <row r="48" spans="1:106" x14ac:dyDescent="0.2">
      <c r="BA48" s="103">
        <f>AX39-AY39</f>
        <v>79.447999999999979</v>
      </c>
    </row>
    <row r="49" spans="12:93" x14ac:dyDescent="0.2">
      <c r="Z49" s="78">
        <f>420/0.8</f>
        <v>525</v>
      </c>
    </row>
    <row r="63" spans="12:93" x14ac:dyDescent="0.2">
      <c r="L63" s="1"/>
      <c r="M63" s="1"/>
      <c r="N63" s="1"/>
      <c r="O63" s="1"/>
      <c r="AG63" s="1"/>
      <c r="AH63" s="1"/>
      <c r="AI63" s="1"/>
      <c r="AJ63" s="1"/>
      <c r="AK63" s="1"/>
      <c r="AL63" s="1"/>
      <c r="AM63" s="1"/>
      <c r="AN63" s="1"/>
      <c r="AO63" s="1"/>
      <c r="AP63" s="1"/>
      <c r="AQ63" s="1"/>
      <c r="AR63" s="1"/>
      <c r="AS63" s="1"/>
      <c r="AT63" s="1"/>
      <c r="CJ63" s="1"/>
      <c r="CK63" s="1"/>
      <c r="CL63" s="1"/>
      <c r="CM63" s="1"/>
      <c r="CN63" s="1"/>
      <c r="CO63" s="1"/>
    </row>
    <row r="64" spans="12:93" x14ac:dyDescent="0.2">
      <c r="L64" s="1"/>
      <c r="M64" s="1"/>
      <c r="N64" s="1"/>
      <c r="O64" s="1"/>
      <c r="AG64" s="1"/>
      <c r="AH64" s="1"/>
      <c r="AI64" s="1"/>
      <c r="AJ64" s="1"/>
      <c r="AK64" s="1"/>
      <c r="AL64" s="1"/>
      <c r="AM64" s="1"/>
      <c r="AN64" s="1"/>
      <c r="AO64" s="1"/>
      <c r="AP64" s="1"/>
      <c r="AQ64" s="1"/>
      <c r="AR64" s="1"/>
      <c r="AS64" s="1"/>
      <c r="AT64" s="1"/>
      <c r="CJ64" s="1"/>
      <c r="CK64" s="1"/>
      <c r="CL64" s="1"/>
      <c r="CM64" s="1"/>
      <c r="CN64" s="1"/>
      <c r="CO64" s="1"/>
    </row>
    <row r="65" spans="12:93" x14ac:dyDescent="0.2">
      <c r="L65" s="1"/>
      <c r="M65" s="1"/>
      <c r="N65" s="1"/>
      <c r="O65" s="1"/>
      <c r="AG65" s="1"/>
      <c r="AH65" s="1"/>
      <c r="AI65" s="1"/>
      <c r="AJ65" s="1"/>
      <c r="AK65" s="1"/>
      <c r="AL65" s="1"/>
      <c r="AM65" s="1"/>
      <c r="AN65" s="1"/>
      <c r="AO65" s="1"/>
      <c r="AP65" s="1"/>
      <c r="AQ65" s="1"/>
      <c r="AR65" s="1"/>
      <c r="AS65" s="1"/>
      <c r="AT65" s="1"/>
      <c r="CJ65" s="1"/>
      <c r="CK65" s="1"/>
      <c r="CL65" s="1"/>
      <c r="CM65" s="1"/>
      <c r="CN65" s="1"/>
      <c r="CO65" s="1"/>
    </row>
    <row r="66" spans="12:93" x14ac:dyDescent="0.2">
      <c r="L66" s="1"/>
      <c r="M66" s="1"/>
      <c r="N66" s="1"/>
      <c r="O66" s="1"/>
      <c r="AG66" s="1"/>
      <c r="AH66" s="1"/>
      <c r="AI66" s="1"/>
      <c r="AJ66" s="1"/>
      <c r="AK66" s="1"/>
      <c r="AL66" s="1"/>
      <c r="AM66" s="1"/>
      <c r="AN66" s="1"/>
      <c r="AO66" s="1"/>
      <c r="AP66" s="1"/>
      <c r="AQ66" s="1"/>
      <c r="AR66" s="1"/>
      <c r="AS66" s="1"/>
      <c r="AT66" s="1"/>
      <c r="CJ66" s="1"/>
      <c r="CK66" s="1"/>
      <c r="CL66" s="1"/>
      <c r="CM66" s="1"/>
      <c r="CN66" s="1"/>
      <c r="CO66" s="1"/>
    </row>
    <row r="67" spans="12:93" x14ac:dyDescent="0.2">
      <c r="L67" s="45"/>
      <c r="M67" s="45"/>
      <c r="N67" s="45"/>
      <c r="O67" s="45"/>
      <c r="AG67" s="45"/>
      <c r="AH67" s="45"/>
      <c r="AI67" s="45"/>
      <c r="AJ67" s="45"/>
      <c r="AK67" s="45"/>
      <c r="AL67" s="45"/>
      <c r="AM67" s="45"/>
      <c r="AN67" s="45"/>
      <c r="AO67" s="45"/>
      <c r="AP67" s="45"/>
      <c r="AQ67" s="45"/>
      <c r="AR67" s="45"/>
      <c r="AS67" s="45"/>
      <c r="AT67" s="45"/>
      <c r="CJ67" s="45"/>
      <c r="CK67" s="45"/>
      <c r="CL67" s="45"/>
      <c r="CM67" s="45"/>
      <c r="CN67" s="45"/>
      <c r="CO67" s="4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9B74B-FA06-C240-AF7B-3C8F39ABA8FB}">
  <sheetPr>
    <tabColor theme="1"/>
  </sheetPr>
  <dimension ref="A1"/>
  <sheetViews>
    <sheetView workbookViewId="0">
      <selection activeCell="B38" sqref="B38:B42"/>
    </sheetView>
  </sheetViews>
  <sheetFormatPr baseColWidth="10" defaultColWidth="11.5703125"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9CF78-61F7-614C-B206-4989FCB49F25}">
  <sheetPr>
    <tabColor theme="1"/>
  </sheetPr>
  <dimension ref="A1"/>
  <sheetViews>
    <sheetView workbookViewId="0"/>
  </sheetViews>
  <sheetFormatPr baseColWidth="10" defaultColWidth="11.5703125"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FD50-C40E-C949-8DD8-5739BCF04D85}">
  <sheetPr>
    <pageSetUpPr fitToPage="1"/>
  </sheetPr>
  <dimension ref="A2:W71"/>
  <sheetViews>
    <sheetView zoomScale="85" workbookViewId="0">
      <pane xSplit="1" ySplit="9" topLeftCell="B38" activePane="bottomRight" state="frozen"/>
      <selection activeCell="B38" sqref="B38:B42"/>
      <selection pane="topRight" activeCell="B38" sqref="B38:B42"/>
      <selection pane="bottomLeft" activeCell="B38" sqref="B38:B42"/>
      <selection pane="bottomRight" activeCell="I68" sqref="I68"/>
    </sheetView>
  </sheetViews>
  <sheetFormatPr baseColWidth="10" defaultColWidth="9.28515625" defaultRowHeight="16" x14ac:dyDescent="0.2"/>
  <cols>
    <col min="1" max="1" width="16.28515625" style="1" customWidth="1"/>
    <col min="2" max="8" width="9.7109375" style="1" customWidth="1"/>
    <col min="9" max="9" width="9.140625" style="1" customWidth="1"/>
    <col min="10" max="19" width="9.28515625" style="1"/>
    <col min="20" max="20" width="9.140625" style="1" customWidth="1"/>
    <col min="21" max="16384" width="9.28515625" style="1"/>
  </cols>
  <sheetData>
    <row r="2" spans="1:21" ht="17" thickBot="1" x14ac:dyDescent="0.25"/>
    <row r="3" spans="1:21" ht="32" customHeight="1" thickTop="1" x14ac:dyDescent="0.2">
      <c r="A3" s="120" t="s">
        <v>28</v>
      </c>
      <c r="B3" s="121"/>
      <c r="C3" s="121"/>
      <c r="D3" s="121"/>
      <c r="E3" s="121"/>
      <c r="F3" s="121"/>
      <c r="G3" s="121"/>
      <c r="H3" s="121"/>
      <c r="I3" s="121"/>
      <c r="J3" s="121"/>
      <c r="K3" s="121"/>
      <c r="L3" s="121"/>
      <c r="M3" s="121"/>
      <c r="N3" s="121"/>
      <c r="O3" s="121"/>
      <c r="P3" s="122"/>
    </row>
    <row r="4" spans="1:21" ht="12" customHeight="1" x14ac:dyDescent="0.2">
      <c r="A4" s="2"/>
      <c r="B4" s="3"/>
      <c r="C4" s="3"/>
      <c r="D4" s="3"/>
      <c r="E4" s="3"/>
      <c r="F4" s="3"/>
      <c r="G4" s="3"/>
      <c r="P4" s="4"/>
    </row>
    <row r="5" spans="1:21" x14ac:dyDescent="0.2">
      <c r="A5" s="5"/>
      <c r="B5" s="6" t="s">
        <v>0</v>
      </c>
      <c r="C5" s="6" t="s">
        <v>1</v>
      </c>
      <c r="D5" s="6" t="s">
        <v>2</v>
      </c>
      <c r="E5" s="6" t="s">
        <v>3</v>
      </c>
      <c r="F5" s="6" t="s">
        <v>4</v>
      </c>
      <c r="G5" s="6" t="s">
        <v>5</v>
      </c>
      <c r="H5" s="6" t="s">
        <v>6</v>
      </c>
      <c r="I5" s="6" t="s">
        <v>7</v>
      </c>
      <c r="J5" s="6" t="s">
        <v>8</v>
      </c>
      <c r="K5" s="6" t="s">
        <v>9</v>
      </c>
      <c r="L5" s="7" t="s">
        <v>10</v>
      </c>
      <c r="M5" s="6" t="s">
        <v>11</v>
      </c>
      <c r="N5" s="6" t="s">
        <v>12</v>
      </c>
      <c r="O5" s="7" t="s">
        <v>13</v>
      </c>
      <c r="P5" s="8" t="s">
        <v>14</v>
      </c>
    </row>
    <row r="6" spans="1:21" ht="21" customHeight="1" thickBot="1" x14ac:dyDescent="0.25">
      <c r="A6" s="5"/>
      <c r="B6" s="123" t="s">
        <v>15</v>
      </c>
      <c r="C6" s="124"/>
      <c r="D6" s="124"/>
      <c r="E6" s="124"/>
      <c r="F6" s="124"/>
      <c r="G6" s="124"/>
      <c r="H6" s="123" t="s">
        <v>16</v>
      </c>
      <c r="I6" s="124"/>
      <c r="J6" s="124"/>
      <c r="K6" s="124"/>
      <c r="L6" s="124"/>
      <c r="M6" s="124"/>
      <c r="N6" s="124"/>
      <c r="O6" s="125" t="s">
        <v>17</v>
      </c>
      <c r="P6" s="128" t="s">
        <v>18</v>
      </c>
    </row>
    <row r="7" spans="1:21" ht="21" customHeight="1" x14ac:dyDescent="0.2">
      <c r="A7" s="5"/>
      <c r="B7" s="131" t="s">
        <v>19</v>
      </c>
      <c r="C7" s="132"/>
      <c r="D7" s="132"/>
      <c r="E7" s="132"/>
      <c r="F7" s="132"/>
      <c r="G7" s="132"/>
      <c r="H7" s="131" t="s">
        <v>19</v>
      </c>
      <c r="I7" s="132"/>
      <c r="J7" s="132"/>
      <c r="K7" s="132"/>
      <c r="L7" s="132"/>
      <c r="M7" s="132"/>
      <c r="N7" s="132"/>
      <c r="O7" s="126"/>
      <c r="P7" s="129"/>
    </row>
    <row r="8" spans="1:21" ht="85" customHeight="1" x14ac:dyDescent="0.2">
      <c r="A8" s="5"/>
      <c r="B8" s="133" t="s">
        <v>20</v>
      </c>
      <c r="C8" s="9" t="s">
        <v>21</v>
      </c>
      <c r="D8" s="10" t="s">
        <v>22</v>
      </c>
      <c r="E8" s="9" t="s">
        <v>23</v>
      </c>
      <c r="F8" s="10" t="s">
        <v>24</v>
      </c>
      <c r="G8" s="9" t="s">
        <v>25</v>
      </c>
      <c r="H8" s="133" t="s">
        <v>26</v>
      </c>
      <c r="I8" s="9" t="s">
        <v>21</v>
      </c>
      <c r="J8" s="10" t="s">
        <v>22</v>
      </c>
      <c r="K8" s="10" t="s">
        <v>23</v>
      </c>
      <c r="L8" s="10" t="s">
        <v>24</v>
      </c>
      <c r="M8" s="9" t="s">
        <v>25</v>
      </c>
      <c r="N8" s="11" t="s">
        <v>27</v>
      </c>
      <c r="O8" s="126"/>
      <c r="P8" s="129"/>
      <c r="U8" s="12"/>
    </row>
    <row r="9" spans="1:21" ht="33" customHeight="1" x14ac:dyDescent="0.2">
      <c r="A9" s="5"/>
      <c r="B9" s="134"/>
      <c r="C9" s="13"/>
      <c r="D9" s="13"/>
      <c r="E9" s="13"/>
      <c r="F9" s="13"/>
      <c r="G9" s="13"/>
      <c r="H9" s="134"/>
      <c r="I9" s="14"/>
      <c r="J9" s="15"/>
      <c r="K9" s="15"/>
      <c r="L9" s="15"/>
      <c r="M9" s="15"/>
      <c r="N9" s="14"/>
      <c r="O9" s="127"/>
      <c r="P9" s="130"/>
    </row>
    <row r="10" spans="1:21" ht="14" hidden="1" customHeight="1" x14ac:dyDescent="0.2">
      <c r="A10" s="16">
        <v>1966</v>
      </c>
      <c r="B10" s="17">
        <v>3.3040656503871023E-2</v>
      </c>
      <c r="C10" s="18">
        <v>1.898637424880497E-3</v>
      </c>
      <c r="D10" s="18">
        <v>5.6880975747719519E-3</v>
      </c>
      <c r="E10" s="18">
        <v>1.2101307127591675E-2</v>
      </c>
      <c r="F10" s="18">
        <v>1.2953765629503422E-2</v>
      </c>
      <c r="G10" s="18">
        <v>3.9884874712347288E-4</v>
      </c>
      <c r="H10" s="17">
        <f>I10+J10+K10+L10+M10+N10</f>
        <v>3.8162096190127621E-2</v>
      </c>
      <c r="I10" s="19">
        <f t="shared" ref="I10:M25" si="0">C10*$O10/($O10+$P10)</f>
        <v>1.8885814105061617E-3</v>
      </c>
      <c r="J10" s="19">
        <f t="shared" si="0"/>
        <v>5.65797092171805E-3</v>
      </c>
      <c r="K10" s="19">
        <f t="shared" si="0"/>
        <v>1.2037213311242844E-2</v>
      </c>
      <c r="L10" s="19">
        <f t="shared" si="0"/>
        <v>1.2885156820014556E-2</v>
      </c>
      <c r="M10" s="19">
        <f t="shared" si="0"/>
        <v>3.9673626967954401E-4</v>
      </c>
      <c r="N10" s="19">
        <f>P10/(P10+O10)</f>
        <v>5.2964374569664631E-3</v>
      </c>
      <c r="O10" s="20">
        <v>9.4228154727834763</v>
      </c>
      <c r="P10" s="21">
        <v>5.0173091461079823E-2</v>
      </c>
      <c r="R10" s="22">
        <f t="shared" ref="R10:R64" si="1">B10-C10-D10-E10-F10-G10</f>
        <v>3.3068166260807885E-18</v>
      </c>
      <c r="U10" s="23"/>
    </row>
    <row r="11" spans="1:21" ht="14" hidden="1" customHeight="1" x14ac:dyDescent="0.2">
      <c r="A11" s="24">
        <v>1967</v>
      </c>
      <c r="B11" s="25">
        <v>3.619953501609862E-2</v>
      </c>
      <c r="C11" s="26">
        <v>2.5292380756968959E-3</v>
      </c>
      <c r="D11" s="26">
        <v>6.7474486434360419E-3</v>
      </c>
      <c r="E11" s="26">
        <v>1.2981742301347356E-2</v>
      </c>
      <c r="F11" s="26">
        <v>1.3311776880172913E-2</v>
      </c>
      <c r="G11" s="26">
        <v>6.2932911544540441E-4</v>
      </c>
      <c r="H11" s="25">
        <f t="shared" ref="H11:H25" si="2">I11+J11+K11+L11+M11+N11</f>
        <v>4.1739457176158845E-2</v>
      </c>
      <c r="I11" s="27">
        <f t="shared" si="0"/>
        <v>2.5147000228813105E-3</v>
      </c>
      <c r="J11" s="27">
        <f t="shared" si="0"/>
        <v>6.7086643290247966E-3</v>
      </c>
      <c r="K11" s="27">
        <f t="shared" si="0"/>
        <v>1.2907123285830874E-2</v>
      </c>
      <c r="L11" s="27">
        <f t="shared" si="0"/>
        <v>1.3235260826894728E-2</v>
      </c>
      <c r="M11" s="27">
        <f t="shared" si="0"/>
        <v>6.2571173359169741E-4</v>
      </c>
      <c r="N11" s="27">
        <f t="shared" ref="N11:N25" si="3">P11/(P11+O11)</f>
        <v>5.7479969779354358E-3</v>
      </c>
      <c r="O11" s="28">
        <v>10.244990314210032</v>
      </c>
      <c r="P11" s="29">
        <v>5.9228619289741803E-2</v>
      </c>
      <c r="R11" s="22">
        <f t="shared" si="1"/>
        <v>7.1557343384043293E-18</v>
      </c>
      <c r="U11" s="23"/>
    </row>
    <row r="12" spans="1:21" ht="14" hidden="1" customHeight="1" x14ac:dyDescent="0.2">
      <c r="A12" s="24">
        <v>1968</v>
      </c>
      <c r="B12" s="25">
        <v>3.5579051424552213E-2</v>
      </c>
      <c r="C12" s="26">
        <v>1.6850844632500005E-3</v>
      </c>
      <c r="D12" s="26">
        <v>4.6494211014773898E-3</v>
      </c>
      <c r="E12" s="26">
        <v>1.4264690140101462E-2</v>
      </c>
      <c r="F12" s="26">
        <v>1.409833513667574E-2</v>
      </c>
      <c r="G12" s="26">
        <v>8.8152058304761865E-4</v>
      </c>
      <c r="H12" s="25">
        <f t="shared" si="2"/>
        <v>4.107391210916362E-2</v>
      </c>
      <c r="I12" s="27">
        <f t="shared" si="0"/>
        <v>1.6754835681418645E-3</v>
      </c>
      <c r="J12" s="27">
        <f t="shared" si="0"/>
        <v>4.6229306760522185E-3</v>
      </c>
      <c r="K12" s="27">
        <f t="shared" si="0"/>
        <v>1.418341599819819E-2</v>
      </c>
      <c r="L12" s="27">
        <f t="shared" si="0"/>
        <v>1.4018008814880859E-2</v>
      </c>
      <c r="M12" s="27">
        <f t="shared" si="0"/>
        <v>8.7649805341300326E-4</v>
      </c>
      <c r="N12" s="27">
        <f t="shared" si="3"/>
        <v>5.6975749984774782E-3</v>
      </c>
      <c r="O12" s="28">
        <v>11.682860923865118</v>
      </c>
      <c r="P12" s="29">
        <v>6.6945402763552014E-2</v>
      </c>
      <c r="R12" s="22">
        <f t="shared" si="1"/>
        <v>5.6378512969246231E-18</v>
      </c>
      <c r="U12" s="23"/>
    </row>
    <row r="13" spans="1:21" ht="14" hidden="1" customHeight="1" x14ac:dyDescent="0.2">
      <c r="A13" s="30">
        <v>1969</v>
      </c>
      <c r="B13" s="31">
        <v>3.7168831829668146E-2</v>
      </c>
      <c r="C13" s="32">
        <v>1.6841489799379963E-3</v>
      </c>
      <c r="D13" s="32">
        <v>4.621053804767951E-3</v>
      </c>
      <c r="E13" s="32">
        <v>1.5195924133777124E-2</v>
      </c>
      <c r="F13" s="32">
        <v>1.4552992943769738E-2</v>
      </c>
      <c r="G13" s="32">
        <v>1.1147119674153408E-3</v>
      </c>
      <c r="H13" s="31">
        <f t="shared" si="2"/>
        <v>4.288913133228664E-2</v>
      </c>
      <c r="I13" s="33">
        <f t="shared" si="0"/>
        <v>1.6741432417662855E-3</v>
      </c>
      <c r="J13" s="33">
        <f t="shared" si="0"/>
        <v>4.5935995504242542E-3</v>
      </c>
      <c r="K13" s="33">
        <f t="shared" si="0"/>
        <v>1.5105643261971263E-2</v>
      </c>
      <c r="L13" s="33">
        <f t="shared" si="0"/>
        <v>1.4466531805981635E-2</v>
      </c>
      <c r="M13" s="33">
        <f t="shared" si="0"/>
        <v>1.1080893252288751E-3</v>
      </c>
      <c r="N13" s="33">
        <f t="shared" si="3"/>
        <v>5.9411241469143287E-3</v>
      </c>
      <c r="O13" s="34">
        <v>13.434163832120014</v>
      </c>
      <c r="P13" s="35">
        <v>8.029105425784383E-2</v>
      </c>
      <c r="R13" s="22">
        <f t="shared" si="1"/>
        <v>-2.8189256484623115E-18</v>
      </c>
      <c r="U13" s="23"/>
    </row>
    <row r="14" spans="1:21" ht="14" hidden="1" customHeight="1" x14ac:dyDescent="0.2">
      <c r="A14" s="36">
        <v>1970</v>
      </c>
      <c r="B14" s="37">
        <v>4.7872629542884619E-2</v>
      </c>
      <c r="C14" s="38">
        <v>4.3901504668719549E-3</v>
      </c>
      <c r="D14" s="38">
        <v>1.1349787357197525E-2</v>
      </c>
      <c r="E14" s="38">
        <v>1.5940051003780015E-2</v>
      </c>
      <c r="F14" s="38">
        <v>1.4861916465841916E-2</v>
      </c>
      <c r="G14" s="38">
        <v>1.3307242491931988E-3</v>
      </c>
      <c r="H14" s="37">
        <f t="shared" si="2"/>
        <v>5.4978519381143988E-2</v>
      </c>
      <c r="I14" s="39">
        <f t="shared" si="0"/>
        <v>4.3573860211066811E-3</v>
      </c>
      <c r="J14" s="39">
        <f t="shared" si="0"/>
        <v>1.1265081947868525E-2</v>
      </c>
      <c r="K14" s="39">
        <f t="shared" si="0"/>
        <v>1.5821087669709789E-2</v>
      </c>
      <c r="L14" s="39">
        <f t="shared" si="0"/>
        <v>1.4750999434708797E-2</v>
      </c>
      <c r="M14" s="39">
        <f t="shared" si="0"/>
        <v>1.3207928259264489E-3</v>
      </c>
      <c r="N14" s="39">
        <f t="shared" si="3"/>
        <v>7.4631714818237495E-3</v>
      </c>
      <c r="O14" s="40">
        <v>14.508208982900875</v>
      </c>
      <c r="P14" s="41">
        <v>0.10909141950448248</v>
      </c>
      <c r="R14" s="22">
        <f t="shared" si="1"/>
        <v>7.3725747729014302E-18</v>
      </c>
      <c r="U14" s="23"/>
    </row>
    <row r="15" spans="1:21" ht="14" hidden="1" customHeight="1" x14ac:dyDescent="0.2">
      <c r="A15" s="24">
        <v>1971</v>
      </c>
      <c r="B15" s="25">
        <v>4.8041310617690333E-2</v>
      </c>
      <c r="C15" s="26">
        <v>3.7451690308618378E-3</v>
      </c>
      <c r="D15" s="26">
        <v>9.922438215876692E-3</v>
      </c>
      <c r="E15" s="26">
        <v>1.653669746679988E-2</v>
      </c>
      <c r="F15" s="26">
        <v>1.6886825283613769E-2</v>
      </c>
      <c r="G15" s="26">
        <v>9.5018062053815592E-4</v>
      </c>
      <c r="H15" s="25">
        <f t="shared" si="2"/>
        <v>5.5180847234238557E-2</v>
      </c>
      <c r="I15" s="27">
        <f t="shared" si="0"/>
        <v>3.7170808672374795E-3</v>
      </c>
      <c r="J15" s="27">
        <f t="shared" si="0"/>
        <v>9.8480215297769465E-3</v>
      </c>
      <c r="K15" s="27">
        <f t="shared" si="0"/>
        <v>1.6412674903218256E-2</v>
      </c>
      <c r="L15" s="27">
        <f t="shared" si="0"/>
        <v>1.6760176817882718E-2</v>
      </c>
      <c r="M15" s="27">
        <f t="shared" si="0"/>
        <v>9.4305441915113115E-4</v>
      </c>
      <c r="N15" s="27">
        <f t="shared" si="3"/>
        <v>7.4998386969720252E-3</v>
      </c>
      <c r="O15" s="28">
        <v>18.588267365410385</v>
      </c>
      <c r="P15" s="29">
        <v>0.14046245263450691</v>
      </c>
      <c r="R15" s="22">
        <f t="shared" si="1"/>
        <v>-1.951563910473908E-18</v>
      </c>
      <c r="U15" s="23"/>
    </row>
    <row r="16" spans="1:21" ht="14" hidden="1" customHeight="1" x14ac:dyDescent="0.2">
      <c r="A16" s="24">
        <v>1972</v>
      </c>
      <c r="B16" s="25">
        <v>4.5857490571448237E-2</v>
      </c>
      <c r="C16" s="26">
        <v>2.6950100809650245E-3</v>
      </c>
      <c r="D16" s="26">
        <v>7.1900952017752403E-3</v>
      </c>
      <c r="E16" s="26">
        <v>1.6112458814536285E-2</v>
      </c>
      <c r="F16" s="26">
        <v>1.6893105932405832E-2</v>
      </c>
      <c r="G16" s="26">
        <v>2.9668205417658572E-3</v>
      </c>
      <c r="H16" s="25">
        <f t="shared" si="2"/>
        <v>5.2671559842204521E-2</v>
      </c>
      <c r="I16" s="27">
        <f t="shared" si="0"/>
        <v>2.6757634954753156E-3</v>
      </c>
      <c r="J16" s="27">
        <f t="shared" si="0"/>
        <v>7.1387466806852699E-3</v>
      </c>
      <c r="K16" s="27">
        <f t="shared" si="0"/>
        <v>1.5997390667588075E-2</v>
      </c>
      <c r="L16" s="27">
        <f t="shared" si="0"/>
        <v>1.6772462744533846E-2</v>
      </c>
      <c r="M16" s="27">
        <f t="shared" si="0"/>
        <v>2.9456328046241565E-3</v>
      </c>
      <c r="N16" s="27">
        <f t="shared" si="3"/>
        <v>7.1415634492978559E-3</v>
      </c>
      <c r="O16" s="28">
        <v>22.297871023862761</v>
      </c>
      <c r="P16" s="29">
        <v>0.16038707517498552</v>
      </c>
      <c r="R16" s="22">
        <f t="shared" si="1"/>
        <v>-4.3368086899420177E-18</v>
      </c>
      <c r="U16" s="23"/>
    </row>
    <row r="17" spans="1:23" ht="14" hidden="1" customHeight="1" x14ac:dyDescent="0.2">
      <c r="A17" s="24">
        <v>1973</v>
      </c>
      <c r="B17" s="25">
        <v>5.8957352454350805E-2</v>
      </c>
      <c r="C17" s="26">
        <v>4.6483780878436203E-3</v>
      </c>
      <c r="D17" s="26">
        <v>1.2851813221375213E-2</v>
      </c>
      <c r="E17" s="26">
        <v>1.7490885750707012E-2</v>
      </c>
      <c r="F17" s="26">
        <v>1.9648997609632707E-2</v>
      </c>
      <c r="G17" s="26">
        <v>4.3172777847922585E-3</v>
      </c>
      <c r="H17" s="25">
        <f t="shared" si="2"/>
        <v>6.4529578625502265E-2</v>
      </c>
      <c r="I17" s="27">
        <f t="shared" si="0"/>
        <v>4.6208534967934235E-3</v>
      </c>
      <c r="J17" s="27">
        <f t="shared" si="0"/>
        <v>1.2775713365363723E-2</v>
      </c>
      <c r="K17" s="27">
        <f t="shared" si="0"/>
        <v>1.738731640494898E-2</v>
      </c>
      <c r="L17" s="27">
        <f t="shared" si="0"/>
        <v>1.9532649366539957E-2</v>
      </c>
      <c r="M17" s="27">
        <f t="shared" si="0"/>
        <v>4.2917137486422566E-3</v>
      </c>
      <c r="N17" s="27">
        <f t="shared" si="3"/>
        <v>5.9213322432139235E-3</v>
      </c>
      <c r="O17" s="28">
        <v>33.961296166346642</v>
      </c>
      <c r="P17" s="29">
        <v>0.20229396780529896</v>
      </c>
      <c r="R17" s="22">
        <f t="shared" si="1"/>
        <v>-8.6736173798840355E-18</v>
      </c>
      <c r="U17" s="23"/>
    </row>
    <row r="18" spans="1:23" ht="14" hidden="1" customHeight="1" x14ac:dyDescent="0.2">
      <c r="A18" s="24">
        <v>1974</v>
      </c>
      <c r="B18" s="25">
        <v>5.1899076728985312E-2</v>
      </c>
      <c r="C18" s="26">
        <v>4.6263527159735481E-3</v>
      </c>
      <c r="D18" s="26">
        <v>1.2432364287132833E-2</v>
      </c>
      <c r="E18" s="26">
        <v>1.2665265863785531E-2</v>
      </c>
      <c r="F18" s="26">
        <v>1.8402147726217209E-2</v>
      </c>
      <c r="G18" s="26">
        <v>3.7729461358762006E-3</v>
      </c>
      <c r="H18" s="25">
        <f t="shared" si="2"/>
        <v>5.603566398457889E-2</v>
      </c>
      <c r="I18" s="27">
        <f t="shared" si="0"/>
        <v>4.6061678271974126E-3</v>
      </c>
      <c r="J18" s="27">
        <f t="shared" si="0"/>
        <v>1.2378121581103583E-2</v>
      </c>
      <c r="K18" s="27">
        <f t="shared" si="0"/>
        <v>1.2610007002545224E-2</v>
      </c>
      <c r="L18" s="27">
        <f t="shared" si="0"/>
        <v>1.8321858710679505E-2</v>
      </c>
      <c r="M18" s="27">
        <f t="shared" si="0"/>
        <v>3.756484680646455E-3</v>
      </c>
      <c r="N18" s="27">
        <f t="shared" si="3"/>
        <v>4.3630241824067122E-3</v>
      </c>
      <c r="O18" s="28">
        <v>61.350978805566598</v>
      </c>
      <c r="P18" s="29">
        <v>0.26884879794987498</v>
      </c>
      <c r="R18" s="22">
        <f t="shared" si="1"/>
        <v>-1.2576745200831851E-17</v>
      </c>
      <c r="U18" s="23"/>
    </row>
    <row r="19" spans="1:23" ht="14" hidden="1" customHeight="1" x14ac:dyDescent="0.2">
      <c r="A19" s="24">
        <v>1975</v>
      </c>
      <c r="B19" s="25">
        <v>5.1837146481650331E-2</v>
      </c>
      <c r="C19" s="26">
        <v>3.4229565668976404E-3</v>
      </c>
      <c r="D19" s="26">
        <v>9.1923484662654077E-3</v>
      </c>
      <c r="E19" s="26">
        <v>1.0897782275265404E-2</v>
      </c>
      <c r="F19" s="26">
        <v>2.4151502504292623E-2</v>
      </c>
      <c r="G19" s="26">
        <v>4.1725566689292557E-3</v>
      </c>
      <c r="H19" s="25">
        <f t="shared" si="2"/>
        <v>5.7027266029947607E-2</v>
      </c>
      <c r="I19" s="27">
        <f t="shared" si="0"/>
        <v>3.4042197499838524E-3</v>
      </c>
      <c r="J19" s="27">
        <f t="shared" si="0"/>
        <v>9.142030752074759E-3</v>
      </c>
      <c r="K19" s="27">
        <f t="shared" si="0"/>
        <v>1.0838129239281066E-2</v>
      </c>
      <c r="L19" s="27">
        <f t="shared" si="0"/>
        <v>2.4019300335853786E-2</v>
      </c>
      <c r="M19" s="27">
        <f t="shared" si="0"/>
        <v>4.1497166390193846E-3</v>
      </c>
      <c r="N19" s="27">
        <f t="shared" si="3"/>
        <v>5.4738693137347614E-3</v>
      </c>
      <c r="O19" s="28">
        <v>58.650392421020527</v>
      </c>
      <c r="P19" s="29">
        <v>0.32281161188835905</v>
      </c>
      <c r="R19" s="22">
        <f t="shared" si="1"/>
        <v>0</v>
      </c>
      <c r="U19" s="23"/>
    </row>
    <row r="20" spans="1:23" ht="14" hidden="1" customHeight="1" x14ac:dyDescent="0.2">
      <c r="A20" s="24">
        <v>1976</v>
      </c>
      <c r="B20" s="25">
        <v>4.4775937912194405E-2</v>
      </c>
      <c r="C20" s="26">
        <v>3.1938090775673078E-3</v>
      </c>
      <c r="D20" s="26">
        <v>8.6560177785785647E-3</v>
      </c>
      <c r="E20" s="26">
        <v>8.5150864965612364E-3</v>
      </c>
      <c r="F20" s="26">
        <v>2.1721506611042881E-2</v>
      </c>
      <c r="G20" s="26">
        <v>2.6895179484444183E-3</v>
      </c>
      <c r="H20" s="25">
        <f t="shared" si="2"/>
        <v>5.0436454927728996E-2</v>
      </c>
      <c r="I20" s="27">
        <f t="shared" si="0"/>
        <v>3.1748830356620977E-3</v>
      </c>
      <c r="J20" s="27">
        <f t="shared" si="0"/>
        <v>8.6047234929056068E-3</v>
      </c>
      <c r="K20" s="27">
        <f t="shared" si="0"/>
        <v>8.4646273488957289E-3</v>
      </c>
      <c r="L20" s="27">
        <f t="shared" si="0"/>
        <v>2.1592788164078596E-2</v>
      </c>
      <c r="M20" s="27">
        <f t="shared" si="0"/>
        <v>2.6735802614503527E-3</v>
      </c>
      <c r="N20" s="27">
        <f t="shared" si="3"/>
        <v>5.9258526247366059E-3</v>
      </c>
      <c r="O20" s="28">
        <v>76.24868802241302</v>
      </c>
      <c r="P20" s="29">
        <v>0.45453197756260488</v>
      </c>
      <c r="R20" s="22">
        <f t="shared" si="1"/>
        <v>0</v>
      </c>
      <c r="U20" s="23"/>
    </row>
    <row r="21" spans="1:23" ht="14" hidden="1" customHeight="1" x14ac:dyDescent="0.2">
      <c r="A21" s="24">
        <v>1977</v>
      </c>
      <c r="B21" s="25">
        <v>5.6318961250691434E-2</v>
      </c>
      <c r="C21" s="26">
        <v>4.3814958222946811E-3</v>
      </c>
      <c r="D21" s="26">
        <v>1.4294448164429823E-2</v>
      </c>
      <c r="E21" s="26">
        <v>1.0946461323473754E-2</v>
      </c>
      <c r="F21" s="26">
        <v>2.4061835861306006E-2</v>
      </c>
      <c r="G21" s="26">
        <v>2.6347200791871669E-3</v>
      </c>
      <c r="H21" s="25">
        <f t="shared" si="2"/>
        <v>6.3992654966454648E-2</v>
      </c>
      <c r="I21" s="27">
        <f t="shared" si="0"/>
        <v>4.3458669863039251E-3</v>
      </c>
      <c r="J21" s="27">
        <f t="shared" si="0"/>
        <v>1.4178210566612804E-2</v>
      </c>
      <c r="K21" s="27">
        <f t="shared" si="0"/>
        <v>1.0857448417609805E-2</v>
      </c>
      <c r="L21" s="27">
        <f t="shared" si="0"/>
        <v>2.3866173183921553E-2</v>
      </c>
      <c r="M21" s="27">
        <f t="shared" si="0"/>
        <v>2.61329543030236E-3</v>
      </c>
      <c r="N21" s="27">
        <f t="shared" si="3"/>
        <v>8.1316603817042001E-3</v>
      </c>
      <c r="O21" s="28">
        <v>68.697999999999993</v>
      </c>
      <c r="P21" s="29">
        <v>0.56320862617441159</v>
      </c>
      <c r="R21" s="22">
        <f t="shared" si="1"/>
        <v>0</v>
      </c>
      <c r="U21" s="23"/>
    </row>
    <row r="22" spans="1:23" ht="14" hidden="1" customHeight="1" x14ac:dyDescent="0.2">
      <c r="A22" s="24">
        <v>1978</v>
      </c>
      <c r="B22" s="25">
        <v>7.704350223904588E-2</v>
      </c>
      <c r="C22" s="26">
        <v>6.4426001697639804E-3</v>
      </c>
      <c r="D22" s="26">
        <v>1.6811347270981686E-2</v>
      </c>
      <c r="E22" s="26">
        <v>1.4818415092544749E-2</v>
      </c>
      <c r="F22" s="26">
        <v>3.465001432876999E-2</v>
      </c>
      <c r="G22" s="26">
        <v>4.3211253769854605E-3</v>
      </c>
      <c r="H22" s="25">
        <f t="shared" si="2"/>
        <v>8.6702869480800304E-2</v>
      </c>
      <c r="I22" s="27">
        <f t="shared" si="0"/>
        <v>6.375173978841105E-3</v>
      </c>
      <c r="J22" s="27">
        <f t="shared" si="0"/>
        <v>1.6635405092219179E-2</v>
      </c>
      <c r="K22" s="27">
        <f t="shared" si="0"/>
        <v>1.4663330303969244E-2</v>
      </c>
      <c r="L22" s="27">
        <f t="shared" si="0"/>
        <v>3.4287378371229638E-2</v>
      </c>
      <c r="M22" s="27">
        <f t="shared" si="0"/>
        <v>4.2759018621012545E-3</v>
      </c>
      <c r="N22" s="27">
        <f t="shared" si="3"/>
        <v>1.0465679872439883E-2</v>
      </c>
      <c r="O22" s="28">
        <v>72.894579840390378</v>
      </c>
      <c r="P22" s="29">
        <v>0.77095995715155363</v>
      </c>
      <c r="R22" s="22">
        <f t="shared" si="1"/>
        <v>1.9081958235744878E-17</v>
      </c>
      <c r="U22" s="23"/>
    </row>
    <row r="23" spans="1:23" ht="14" hidden="1" customHeight="1" x14ac:dyDescent="0.2">
      <c r="A23" s="30">
        <v>1979</v>
      </c>
      <c r="B23" s="31">
        <v>8.9828881510760308E-2</v>
      </c>
      <c r="C23" s="32">
        <v>7.9652436048524271E-3</v>
      </c>
      <c r="D23" s="32">
        <v>1.7127800372071462E-2</v>
      </c>
      <c r="E23" s="32">
        <v>1.7235076533865308E-2</v>
      </c>
      <c r="F23" s="32">
        <v>4.1743830080940743E-2</v>
      </c>
      <c r="G23" s="32">
        <v>5.7569309190303574E-3</v>
      </c>
      <c r="H23" s="31">
        <f t="shared" si="2"/>
        <v>9.9144918476467142E-2</v>
      </c>
      <c r="I23" s="33">
        <f t="shared" si="0"/>
        <v>7.8837155247405977E-3</v>
      </c>
      <c r="J23" s="33">
        <f t="shared" si="0"/>
        <v>1.6952489138649426E-2</v>
      </c>
      <c r="K23" s="33">
        <f t="shared" si="0"/>
        <v>1.7058667277589645E-2</v>
      </c>
      <c r="L23" s="33">
        <f t="shared" si="0"/>
        <v>4.1316562003296475E-2</v>
      </c>
      <c r="M23" s="33">
        <f t="shared" si="0"/>
        <v>5.6980059760594918E-3</v>
      </c>
      <c r="N23" s="33">
        <f t="shared" si="3"/>
        <v>1.0235478556131501E-2</v>
      </c>
      <c r="O23" s="34">
        <v>103.27088121791286</v>
      </c>
      <c r="P23" s="35">
        <v>1.0679579508838724</v>
      </c>
      <c r="R23" s="22">
        <f t="shared" si="1"/>
        <v>0</v>
      </c>
      <c r="U23" s="23"/>
    </row>
    <row r="24" spans="1:23" ht="14" hidden="1" customHeight="1" x14ac:dyDescent="0.2">
      <c r="A24" s="36">
        <v>1980</v>
      </c>
      <c r="B24" s="37">
        <v>0.12869384307141513</v>
      </c>
      <c r="C24" s="38">
        <v>1.2832093259819792E-2</v>
      </c>
      <c r="D24" s="38">
        <v>2.3212331447731601E-2</v>
      </c>
      <c r="E24" s="38">
        <v>2.6499874249388159E-2</v>
      </c>
      <c r="F24" s="38">
        <v>5.6341816843682321E-2</v>
      </c>
      <c r="G24" s="38">
        <v>9.807727270793232E-3</v>
      </c>
      <c r="H24" s="37">
        <f t="shared" si="2"/>
        <v>0.14261397817274102</v>
      </c>
      <c r="I24" s="39">
        <f t="shared" si="0"/>
        <v>1.2627085559152132E-2</v>
      </c>
      <c r="J24" s="39">
        <f t="shared" si="0"/>
        <v>2.2841487299323199E-2</v>
      </c>
      <c r="K24" s="39">
        <f t="shared" si="0"/>
        <v>2.6076507758991761E-2</v>
      </c>
      <c r="L24" s="39">
        <f t="shared" si="0"/>
        <v>5.5441690411564729E-2</v>
      </c>
      <c r="M24" s="39">
        <f t="shared" si="0"/>
        <v>9.6510373546704539E-3</v>
      </c>
      <c r="N24" s="39">
        <f t="shared" si="3"/>
        <v>1.5976169789038749E-2</v>
      </c>
      <c r="O24" s="40">
        <v>71.178701530015758</v>
      </c>
      <c r="P24" s="41">
        <v>1.1556254900483982</v>
      </c>
      <c r="R24" s="22">
        <f t="shared" si="1"/>
        <v>1.9081958235744878E-17</v>
      </c>
      <c r="U24" s="23"/>
    </row>
    <row r="25" spans="1:23" ht="14" hidden="1" customHeight="1" x14ac:dyDescent="0.2">
      <c r="A25" s="24">
        <v>1981</v>
      </c>
      <c r="B25" s="25">
        <v>0.12598685967527637</v>
      </c>
      <c r="C25" s="26">
        <v>1.4050324119263172E-2</v>
      </c>
      <c r="D25" s="26">
        <v>2.1697768347914512E-2</v>
      </c>
      <c r="E25" s="26">
        <v>2.7974266188269023E-2</v>
      </c>
      <c r="F25" s="26">
        <v>5.1037502756982385E-2</v>
      </c>
      <c r="G25" s="26">
        <v>1.1226998262847265E-2</v>
      </c>
      <c r="H25" s="25">
        <f t="shared" si="2"/>
        <v>0.14098173703656844</v>
      </c>
      <c r="I25" s="27">
        <f t="shared" si="0"/>
        <v>1.380927180856624E-2</v>
      </c>
      <c r="J25" s="27">
        <f t="shared" si="0"/>
        <v>2.1325513789739535E-2</v>
      </c>
      <c r="K25" s="27">
        <f t="shared" si="0"/>
        <v>2.7494329821855366E-2</v>
      </c>
      <c r="L25" s="27">
        <f t="shared" si="0"/>
        <v>5.0161885378526005E-2</v>
      </c>
      <c r="M25" s="27">
        <f t="shared" si="0"/>
        <v>1.1034383925236403E-2</v>
      </c>
      <c r="N25" s="27">
        <f t="shared" si="3"/>
        <v>1.7156352312644906E-2</v>
      </c>
      <c r="O25" s="28">
        <v>63.904518863416868</v>
      </c>
      <c r="P25" s="29">
        <v>1.1155064618575015</v>
      </c>
      <c r="R25" s="22">
        <f t="shared" si="1"/>
        <v>1.5612511283791264E-17</v>
      </c>
      <c r="U25" s="23"/>
    </row>
    <row r="26" spans="1:23" ht="14" customHeight="1" x14ac:dyDescent="0.2">
      <c r="A26" s="24">
        <v>1982</v>
      </c>
      <c r="B26" s="25">
        <v>0.14980867942137191</v>
      </c>
      <c r="C26" s="26">
        <v>1.4092393840410639E-2</v>
      </c>
      <c r="D26" s="26">
        <v>1.8777414839010732E-2</v>
      </c>
      <c r="E26" s="26">
        <v>2.7251516565562295E-2</v>
      </c>
      <c r="F26" s="26">
        <v>7.8002799813345777E-2</v>
      </c>
      <c r="G26" s="26">
        <v>1.1684554363042464E-2</v>
      </c>
      <c r="H26" s="25">
        <v>0.16880182354109144</v>
      </c>
      <c r="I26" s="27">
        <v>1.3777571916539902E-2</v>
      </c>
      <c r="J26" s="27">
        <v>1.8357930262303496E-2</v>
      </c>
      <c r="K26" s="27">
        <v>2.6642721851851993E-2</v>
      </c>
      <c r="L26" s="27">
        <v>7.6260229191020198E-2</v>
      </c>
      <c r="M26" s="27">
        <v>1.1423523204972157E-2</v>
      </c>
      <c r="N26" s="27">
        <v>2.2339847114403687E-2</v>
      </c>
      <c r="O26" s="28">
        <v>53.575000000000003</v>
      </c>
      <c r="P26" s="29">
        <v>1.2242058813807779</v>
      </c>
      <c r="R26" s="22">
        <f t="shared" si="1"/>
        <v>0</v>
      </c>
      <c r="T26" s="61">
        <f>H26*Data!AS5</f>
        <v>4.4806433016486187E-2</v>
      </c>
      <c r="U26" s="23"/>
      <c r="W26" s="42"/>
    </row>
    <row r="27" spans="1:23" ht="14" customHeight="1" x14ac:dyDescent="0.2">
      <c r="A27" s="24">
        <v>1983</v>
      </c>
      <c r="B27" s="25">
        <v>0.1400041355067719</v>
      </c>
      <c r="C27" s="26">
        <v>1.6455870696488264E-2</v>
      </c>
      <c r="D27" s="26">
        <v>2.6846331460867769E-2</v>
      </c>
      <c r="E27" s="26">
        <v>2.1384016266326637E-2</v>
      </c>
      <c r="F27" s="26">
        <v>6.2739083985250022E-2</v>
      </c>
      <c r="G27" s="26">
        <v>1.2578833097839198E-2</v>
      </c>
      <c r="H27" s="25">
        <v>0.15880202736432308</v>
      </c>
      <c r="I27" s="27">
        <v>1.6096176318240625E-2</v>
      </c>
      <c r="J27" s="27">
        <v>2.6259521155831307E-2</v>
      </c>
      <c r="K27" s="27">
        <v>2.0916601896268712E-2</v>
      </c>
      <c r="L27" s="27">
        <v>6.1367725627972894E-2</v>
      </c>
      <c r="M27" s="27">
        <v>1.2303883468393359E-2</v>
      </c>
      <c r="N27" s="27">
        <v>2.1858118897616175E-2</v>
      </c>
      <c r="O27" s="28">
        <v>58.033999999999999</v>
      </c>
      <c r="P27" s="29">
        <v>1.2968610143495936</v>
      </c>
      <c r="R27" s="22">
        <f t="shared" si="1"/>
        <v>2.2551405187698492E-17</v>
      </c>
      <c r="T27" s="61">
        <f>H27*Data!AS6</f>
        <v>3.7021639613634333E-2</v>
      </c>
      <c r="U27" s="23"/>
    </row>
    <row r="28" spans="1:23" ht="14" customHeight="1" x14ac:dyDescent="0.2">
      <c r="A28" s="24">
        <v>1984</v>
      </c>
      <c r="B28" s="25">
        <v>0.13324542351846105</v>
      </c>
      <c r="C28" s="26">
        <v>1.7157927396835245E-2</v>
      </c>
      <c r="D28" s="26">
        <v>2.451132485262178E-2</v>
      </c>
      <c r="E28" s="26">
        <v>2.3270245113248527E-2</v>
      </c>
      <c r="F28" s="26">
        <v>5.6934533043748063E-2</v>
      </c>
      <c r="G28" s="26">
        <v>1.1371393112007447E-2</v>
      </c>
      <c r="H28" s="25">
        <v>0.15138455891983879</v>
      </c>
      <c r="I28" s="27">
        <v>1.6798852317564717E-2</v>
      </c>
      <c r="J28" s="27">
        <v>2.3998360453663881E-2</v>
      </c>
      <c r="K28" s="27">
        <v>2.2783253595250522E-2</v>
      </c>
      <c r="L28" s="27">
        <v>5.5743027129712949E-2</v>
      </c>
      <c r="M28" s="27">
        <v>1.1133416590212421E-2</v>
      </c>
      <c r="N28" s="27">
        <v>2.0927648833434325E-2</v>
      </c>
      <c r="O28" s="28">
        <v>64.460000000000008</v>
      </c>
      <c r="P28" s="29">
        <v>1.3778310072752502</v>
      </c>
      <c r="R28" s="22">
        <f t="shared" si="1"/>
        <v>-1.5612511283791264E-17</v>
      </c>
      <c r="T28" s="61">
        <f>H28*Data!AS7</f>
        <v>3.3370346219742948E-2</v>
      </c>
      <c r="U28" s="23"/>
    </row>
    <row r="29" spans="1:23" ht="14" customHeight="1" x14ac:dyDescent="0.2">
      <c r="A29" s="24">
        <v>1985</v>
      </c>
      <c r="B29" s="25">
        <v>0.14040937445158819</v>
      </c>
      <c r="C29" s="26">
        <v>1.7740623155342129E-2</v>
      </c>
      <c r="D29" s="26">
        <v>2.9354987954882658E-2</v>
      </c>
      <c r="E29" s="26">
        <v>2.7616023994511893E-2</v>
      </c>
      <c r="F29" s="26">
        <v>5.7545348670250955E-2</v>
      </c>
      <c r="G29" s="26">
        <v>8.1523906766005644E-3</v>
      </c>
      <c r="H29" s="25">
        <v>0.15952010163897429</v>
      </c>
      <c r="I29" s="27">
        <v>1.7346207256448788E-2</v>
      </c>
      <c r="J29" s="27">
        <v>2.870235733081454E-2</v>
      </c>
      <c r="K29" s="27">
        <v>2.7002054641108678E-2</v>
      </c>
      <c r="L29" s="27">
        <v>5.62659798327435E-2</v>
      </c>
      <c r="M29" s="27">
        <v>7.9711438021990381E-3</v>
      </c>
      <c r="N29" s="27">
        <v>2.2232358775659745E-2</v>
      </c>
      <c r="O29" s="28">
        <v>62.680999999999997</v>
      </c>
      <c r="P29" s="29">
        <v>1.4252327666235287</v>
      </c>
      <c r="R29" s="22">
        <f t="shared" si="1"/>
        <v>0</v>
      </c>
      <c r="T29" s="61">
        <f>H29*Data!AS8</f>
        <v>3.3012020248633707E-2</v>
      </c>
      <c r="U29" s="23"/>
    </row>
    <row r="30" spans="1:23" ht="14" customHeight="1" x14ac:dyDescent="0.2">
      <c r="A30" s="24">
        <v>1986</v>
      </c>
      <c r="B30" s="25">
        <v>0.14691270404542228</v>
      </c>
      <c r="C30" s="26">
        <v>1.5330021291696239E-2</v>
      </c>
      <c r="D30" s="26">
        <v>4.3417317246273956E-2</v>
      </c>
      <c r="E30" s="26">
        <v>2.8548616039744498E-2</v>
      </c>
      <c r="F30" s="26">
        <v>4.6611071682044002E-2</v>
      </c>
      <c r="G30" s="26">
        <v>1.3005677785663592E-2</v>
      </c>
      <c r="H30" s="25">
        <v>0.16763137751108267</v>
      </c>
      <c r="I30" s="27">
        <v>1.4957705695308332E-2</v>
      </c>
      <c r="J30" s="27">
        <v>4.236285397733737E-2</v>
      </c>
      <c r="K30" s="27">
        <v>2.7855264425637856E-2</v>
      </c>
      <c r="L30" s="27">
        <v>4.5479042663859937E-2</v>
      </c>
      <c r="M30" s="27">
        <v>1.2689812817894684E-2</v>
      </c>
      <c r="N30" s="27">
        <v>2.4286697931044477E-2</v>
      </c>
      <c r="O30" s="28">
        <v>56.36</v>
      </c>
      <c r="P30" s="29">
        <v>1.4028693597711464</v>
      </c>
      <c r="R30" s="22">
        <f t="shared" si="1"/>
        <v>-1.5612511283791264E-17</v>
      </c>
      <c r="T30" s="61">
        <f>H30*Data!AS9</f>
        <v>3.3711087586969446E-2</v>
      </c>
      <c r="U30" s="23"/>
    </row>
    <row r="31" spans="1:23" ht="14" customHeight="1" x14ac:dyDescent="0.2">
      <c r="A31" s="24">
        <v>1987</v>
      </c>
      <c r="B31" s="25">
        <v>0.17109846232265738</v>
      </c>
      <c r="C31" s="26">
        <v>2.8148274006739728E-2</v>
      </c>
      <c r="D31" s="26">
        <v>5.1779797808172628E-2</v>
      </c>
      <c r="E31" s="26">
        <v>3.0286296831195311E-2</v>
      </c>
      <c r="F31" s="26">
        <v>4.7362161243734602E-2</v>
      </c>
      <c r="G31" s="26">
        <v>1.3521932432815111E-2</v>
      </c>
      <c r="H31" s="25">
        <v>0.194947942783848</v>
      </c>
      <c r="I31" s="27">
        <v>2.7338380816263715E-2</v>
      </c>
      <c r="J31" s="27">
        <v>5.0289969137362375E-2</v>
      </c>
      <c r="K31" s="27">
        <v>2.9414887608645919E-2</v>
      </c>
      <c r="L31" s="27">
        <v>4.5999438546479941E-2</v>
      </c>
      <c r="M31" s="27">
        <v>1.3132874084271553E-2</v>
      </c>
      <c r="N31" s="27">
        <v>2.8772392590824477E-2</v>
      </c>
      <c r="O31" s="28">
        <v>70.626000000000005</v>
      </c>
      <c r="P31" s="29">
        <v>2.0922788681226812</v>
      </c>
      <c r="R31" s="22">
        <f t="shared" si="1"/>
        <v>0</v>
      </c>
      <c r="T31" s="61">
        <f>H31*Data!AS10</f>
        <v>4.0363810514380982E-2</v>
      </c>
      <c r="U31" s="23"/>
    </row>
    <row r="32" spans="1:23" ht="14" customHeight="1" x14ac:dyDescent="0.2">
      <c r="A32" s="24">
        <v>1988</v>
      </c>
      <c r="B32" s="25">
        <v>0.13982084792006677</v>
      </c>
      <c r="C32" s="26">
        <v>2.2911034422614523E-2</v>
      </c>
      <c r="D32" s="26">
        <v>5.4729839161797501E-2</v>
      </c>
      <c r="E32" s="26">
        <v>2.5577136307573474E-2</v>
      </c>
      <c r="F32" s="26">
        <v>2.232548868152541E-2</v>
      </c>
      <c r="G32" s="26">
        <v>1.4277349346555869E-2</v>
      </c>
      <c r="H32" s="25">
        <v>0.15991605945165366</v>
      </c>
      <c r="I32" s="27">
        <v>2.2375794662366159E-2</v>
      </c>
      <c r="J32" s="27">
        <v>5.3451259353874132E-2</v>
      </c>
      <c r="K32" s="27">
        <v>2.4979611985773639E-2</v>
      </c>
      <c r="L32" s="27">
        <v>2.1803928240870123E-2</v>
      </c>
      <c r="M32" s="27">
        <v>1.3943806787967165E-2</v>
      </c>
      <c r="N32" s="27">
        <v>2.3361658420802425E-2</v>
      </c>
      <c r="O32" s="28">
        <v>80.266999999999996</v>
      </c>
      <c r="P32" s="29">
        <v>1.9200252095678005</v>
      </c>
      <c r="R32" s="22">
        <f t="shared" si="1"/>
        <v>0</v>
      </c>
      <c r="T32" s="61">
        <f>H32*Data!AS11</f>
        <v>3.6439172638412447E-2</v>
      </c>
      <c r="U32" s="23"/>
    </row>
    <row r="33" spans="1:21" ht="14" customHeight="1" x14ac:dyDescent="0.2">
      <c r="A33" s="30">
        <v>1989</v>
      </c>
      <c r="B33" s="31">
        <v>0.16793233170549338</v>
      </c>
      <c r="C33" s="32">
        <v>3.1298922821693109E-2</v>
      </c>
      <c r="D33" s="32">
        <v>4.9057176904923241E-2</v>
      </c>
      <c r="E33" s="32">
        <v>2.4966703273593942E-2</v>
      </c>
      <c r="F33" s="32">
        <v>4.8227679510246042E-2</v>
      </c>
      <c r="G33" s="32">
        <v>1.4381849195037036E-2</v>
      </c>
      <c r="H33" s="31">
        <v>0.19180191351092366</v>
      </c>
      <c r="I33" s="33">
        <v>3.0401048493460203E-2</v>
      </c>
      <c r="J33" s="33">
        <v>4.7649870333721311E-2</v>
      </c>
      <c r="K33" s="33">
        <v>2.4250481758314461E-2</v>
      </c>
      <c r="L33" s="33">
        <v>4.6844168787235421E-2</v>
      </c>
      <c r="M33" s="33">
        <v>1.396927610879041E-2</v>
      </c>
      <c r="N33" s="33">
        <v>2.8687068029401869E-2</v>
      </c>
      <c r="O33" s="34">
        <v>85.593999999999994</v>
      </c>
      <c r="P33" s="35">
        <v>2.5279606809383548</v>
      </c>
      <c r="R33" s="22">
        <f t="shared" si="1"/>
        <v>0</v>
      </c>
      <c r="T33" s="61">
        <f>H33*Data!AS12</f>
        <v>4.5208932018515731E-2</v>
      </c>
      <c r="U33" s="23"/>
    </row>
    <row r="34" spans="1:21" ht="14" customHeight="1" x14ac:dyDescent="0.2">
      <c r="A34" s="36">
        <v>1990</v>
      </c>
      <c r="B34" s="37">
        <v>0.19557788944723617</v>
      </c>
      <c r="C34" s="38">
        <v>3.7268696423292932E-2</v>
      </c>
      <c r="D34" s="38">
        <v>5.5879396984924626E-2</v>
      </c>
      <c r="E34" s="38">
        <v>3.0493644694058526E-2</v>
      </c>
      <c r="F34" s="38">
        <v>4.6621342004138339E-2</v>
      </c>
      <c r="G34" s="38">
        <v>2.5314809340821757E-2</v>
      </c>
      <c r="H34" s="37">
        <v>0.2222382814534053</v>
      </c>
      <c r="I34" s="39">
        <v>3.6033526425888029E-2</v>
      </c>
      <c r="J34" s="39">
        <v>5.4027425726125282E-2</v>
      </c>
      <c r="K34" s="39">
        <v>2.9483015435395062E-2</v>
      </c>
      <c r="L34" s="39">
        <v>4.5076203901420218E-2</v>
      </c>
      <c r="M34" s="39">
        <v>2.4475818552609864E-2</v>
      </c>
      <c r="N34" s="39">
        <v>3.3142291411966833E-2</v>
      </c>
      <c r="O34" s="40">
        <v>84.574999999999989</v>
      </c>
      <c r="P34" s="41">
        <v>2.8990918428529842</v>
      </c>
      <c r="R34" s="22">
        <f t="shared" si="1"/>
        <v>0</v>
      </c>
      <c r="T34" s="61">
        <f>H34*Data!AS13</f>
        <v>5.2931504310742707E-2</v>
      </c>
      <c r="U34" s="23"/>
    </row>
    <row r="35" spans="1:21" ht="14" customHeight="1" x14ac:dyDescent="0.2">
      <c r="A35" s="24">
        <v>1991</v>
      </c>
      <c r="B35" s="25">
        <v>0.20827819538614753</v>
      </c>
      <c r="C35" s="26">
        <v>4.111812935703469E-2</v>
      </c>
      <c r="D35" s="26">
        <v>5.8607658831393843E-2</v>
      </c>
      <c r="E35" s="26">
        <v>3.8116806046302236E-2</v>
      </c>
      <c r="F35" s="26">
        <v>4.6875213162166952E-2</v>
      </c>
      <c r="G35" s="26">
        <v>2.3560387989249806E-2</v>
      </c>
      <c r="H35" s="25">
        <v>0.23597268604314992</v>
      </c>
      <c r="I35" s="27">
        <v>3.9679813975702964E-2</v>
      </c>
      <c r="J35" s="27">
        <v>5.6557558340948895E-2</v>
      </c>
      <c r="K35" s="27">
        <v>3.6783477189155311E-2</v>
      </c>
      <c r="L35" s="27">
        <v>4.523551453898985E-2</v>
      </c>
      <c r="M35" s="27">
        <v>2.2736243774399149E-2</v>
      </c>
      <c r="N35" s="27">
        <v>3.4980078223953756E-2</v>
      </c>
      <c r="O35" s="28">
        <v>73.301000000000002</v>
      </c>
      <c r="P35" s="29">
        <v>2.6570173900400404</v>
      </c>
      <c r="R35" s="22">
        <f t="shared" si="1"/>
        <v>0</v>
      </c>
      <c r="T35" s="61">
        <f>H35*Data!AS14</f>
        <v>4.5972267413024397E-2</v>
      </c>
      <c r="U35" s="23"/>
    </row>
    <row r="36" spans="1:21" ht="14" customHeight="1" x14ac:dyDescent="0.2">
      <c r="A36" s="24">
        <v>1992</v>
      </c>
      <c r="B36" s="25">
        <v>0.19422005270206055</v>
      </c>
      <c r="C36" s="26">
        <v>4.9894163894768674E-2</v>
      </c>
      <c r="D36" s="26">
        <v>5.4530793266807778E-2</v>
      </c>
      <c r="E36" s="26">
        <v>2.162800408944951E-2</v>
      </c>
      <c r="F36" s="26">
        <v>4.6481489481187091E-2</v>
      </c>
      <c r="G36" s="26">
        <v>2.168560196984751E-2</v>
      </c>
      <c r="H36" s="25">
        <v>0.22111926058292281</v>
      </c>
      <c r="I36" s="27">
        <v>4.82285559441765E-2</v>
      </c>
      <c r="J36" s="27">
        <v>5.2710401547069664E-2</v>
      </c>
      <c r="K36" s="27">
        <v>2.0906000296725284E-2</v>
      </c>
      <c r="L36" s="27">
        <v>4.4929806230245811E-2</v>
      </c>
      <c r="M36" s="27">
        <v>2.0961675397382338E-2</v>
      </c>
      <c r="N36" s="27">
        <v>3.3382821167323218E-2</v>
      </c>
      <c r="O36" s="28">
        <v>69.447000000000003</v>
      </c>
      <c r="P36" s="29">
        <v>2.3984022137976133</v>
      </c>
      <c r="R36" s="22">
        <f t="shared" si="1"/>
        <v>0</v>
      </c>
      <c r="T36" s="61">
        <f>H36*Data!AS15</f>
        <v>4.1646683092814461E-2</v>
      </c>
      <c r="U36" s="23"/>
    </row>
    <row r="37" spans="1:21" ht="14" customHeight="1" x14ac:dyDescent="0.2">
      <c r="A37" s="24">
        <v>1993</v>
      </c>
      <c r="B37" s="25">
        <v>0.19241871874449429</v>
      </c>
      <c r="C37" s="26">
        <v>4.5089243362651958E-2</v>
      </c>
      <c r="D37" s="26">
        <v>4.2039925732175042E-2</v>
      </c>
      <c r="E37" s="26">
        <v>2.7037282990228631E-2</v>
      </c>
      <c r="F37" s="26">
        <v>4.3828858742054833E-2</v>
      </c>
      <c r="G37" s="26">
        <v>3.4423407917383818E-2</v>
      </c>
      <c r="H37" s="25">
        <v>0.21917563111041416</v>
      </c>
      <c r="I37" s="27">
        <v>4.3595339329333467E-2</v>
      </c>
      <c r="J37" s="27">
        <v>4.0647052179017852E-2</v>
      </c>
      <c r="K37" s="27">
        <v>2.6141479399465064E-2</v>
      </c>
      <c r="L37" s="27">
        <v>4.2376713973869676E-2</v>
      </c>
      <c r="M37" s="27">
        <v>3.3282886052451756E-2</v>
      </c>
      <c r="N37" s="27">
        <v>3.3132160176276355E-2</v>
      </c>
      <c r="O37" s="28">
        <v>73.786999999999992</v>
      </c>
      <c r="P37" s="29">
        <v>2.5284972798067393</v>
      </c>
      <c r="R37" s="22">
        <f t="shared" si="1"/>
        <v>0</v>
      </c>
      <c r="T37" s="61">
        <f>H37*Data!AS16</f>
        <v>4.0337026764066218E-2</v>
      </c>
      <c r="U37" s="23"/>
    </row>
    <row r="38" spans="1:21" ht="14" customHeight="1" x14ac:dyDescent="0.2">
      <c r="A38" s="24">
        <v>1994</v>
      </c>
      <c r="B38" s="25">
        <v>0.18929328621908129</v>
      </c>
      <c r="C38" s="26">
        <v>4.5535924617196702E-2</v>
      </c>
      <c r="D38" s="26">
        <v>4.685512367491166E-2</v>
      </c>
      <c r="E38" s="26">
        <v>2.7597173144876325E-2</v>
      </c>
      <c r="F38" s="26">
        <v>3.5700824499411074E-2</v>
      </c>
      <c r="G38" s="26">
        <v>3.3604240282685514E-2</v>
      </c>
      <c r="H38" s="25">
        <v>0.21589573879094776</v>
      </c>
      <c r="I38" s="27">
        <v>4.4041713141759947E-2</v>
      </c>
      <c r="J38" s="27">
        <v>4.5317624127760234E-2</v>
      </c>
      <c r="K38" s="27">
        <v>2.6691602144631028E-2</v>
      </c>
      <c r="L38" s="27">
        <v>3.4529341058632805E-2</v>
      </c>
      <c r="M38" s="27">
        <v>3.2501553955882341E-2</v>
      </c>
      <c r="N38" s="27">
        <v>3.2813904362281418E-2</v>
      </c>
      <c r="O38" s="28">
        <v>84.9</v>
      </c>
      <c r="P38" s="29">
        <v>2.8804182493140544</v>
      </c>
      <c r="R38" s="22">
        <f t="shared" si="1"/>
        <v>0</v>
      </c>
      <c r="T38" s="61">
        <f>H38*Data!AS17</f>
        <v>3.9531196353492171E-2</v>
      </c>
      <c r="U38" s="23"/>
    </row>
    <row r="39" spans="1:21" x14ac:dyDescent="0.2">
      <c r="A39" s="24">
        <v>1995</v>
      </c>
      <c r="B39" s="25">
        <v>0.20848711699164346</v>
      </c>
      <c r="C39" s="26">
        <v>4.5560584958217271E-2</v>
      </c>
      <c r="D39" s="26">
        <v>5.9235724233983288E-2</v>
      </c>
      <c r="E39" s="26">
        <v>3.1267409470752086E-2</v>
      </c>
      <c r="F39" s="26">
        <v>3.794394150417827E-2</v>
      </c>
      <c r="G39" s="26">
        <v>3.4479456824512533E-2</v>
      </c>
      <c r="H39" s="25">
        <v>0.23733267458795446</v>
      </c>
      <c r="I39" s="27">
        <v>4.3900194450688414E-2</v>
      </c>
      <c r="J39" s="27">
        <v>5.7076962788867903E-2</v>
      </c>
      <c r="K39" s="27">
        <v>3.0127913348657387E-2</v>
      </c>
      <c r="L39" s="27">
        <v>3.6561128698997088E-2</v>
      </c>
      <c r="M39" s="27">
        <v>3.322290221994207E-2</v>
      </c>
      <c r="N39" s="27">
        <v>3.6443573080801622E-2</v>
      </c>
      <c r="O39" s="28">
        <v>114.88</v>
      </c>
      <c r="P39" s="29">
        <v>4.3449844332506036</v>
      </c>
      <c r="R39" s="22">
        <f t="shared" si="1"/>
        <v>0</v>
      </c>
      <c r="T39" s="61">
        <f>H39*Data!AS18</f>
        <v>4.7218070443836808E-2</v>
      </c>
      <c r="U39" s="23"/>
    </row>
    <row r="40" spans="1:21" x14ac:dyDescent="0.2">
      <c r="A40" s="24">
        <v>1996</v>
      </c>
      <c r="B40" s="25">
        <v>0.19729520213068072</v>
      </c>
      <c r="C40" s="26">
        <v>4.3526982738108941E-2</v>
      </c>
      <c r="D40" s="26">
        <v>4.8193603352598494E-2</v>
      </c>
      <c r="E40" s="26">
        <v>2.2688372592814324E-2</v>
      </c>
      <c r="F40" s="26">
        <v>3.7624628704321997E-2</v>
      </c>
      <c r="G40" s="26">
        <v>4.5261614742836964E-2</v>
      </c>
      <c r="H40" s="25">
        <v>0.22459365070876289</v>
      </c>
      <c r="I40" s="27">
        <v>4.2046713648912867E-2</v>
      </c>
      <c r="J40" s="27">
        <v>4.655463145856531E-2</v>
      </c>
      <c r="K40" s="27">
        <v>2.191678461403393E-2</v>
      </c>
      <c r="L40" s="27">
        <v>3.6345087340322844E-2</v>
      </c>
      <c r="M40" s="27">
        <v>4.3722354150527096E-2</v>
      </c>
      <c r="N40" s="27">
        <v>3.4008079496400861E-2</v>
      </c>
      <c r="O40" s="28">
        <v>130.28700000000001</v>
      </c>
      <c r="P40" s="29">
        <v>4.5867988740916914</v>
      </c>
      <c r="R40" s="22">
        <f t="shared" si="1"/>
        <v>0</v>
      </c>
      <c r="T40" s="61">
        <f>H40*Data!AS19</f>
        <v>4.3841258339494114E-2</v>
      </c>
      <c r="U40" s="23"/>
    </row>
    <row r="41" spans="1:21" x14ac:dyDescent="0.2">
      <c r="A41" s="24">
        <v>1997</v>
      </c>
      <c r="B41" s="25">
        <v>0.2247690207032306</v>
      </c>
      <c r="C41" s="26">
        <v>5.6301420184783436E-2</v>
      </c>
      <c r="D41" s="26">
        <v>5.4499331147722783E-2</v>
      </c>
      <c r="E41" s="26">
        <v>2.3233086354720434E-2</v>
      </c>
      <c r="F41" s="26">
        <v>5.5545929011554161E-2</v>
      </c>
      <c r="G41" s="26">
        <v>3.5189254004449777E-2</v>
      </c>
      <c r="H41" s="25">
        <v>0.25499068595223295</v>
      </c>
      <c r="I41" s="27">
        <v>5.4106561208157607E-2</v>
      </c>
      <c r="J41" s="27">
        <v>5.2374724951341038E-2</v>
      </c>
      <c r="K41" s="27">
        <v>2.2327365895573593E-2</v>
      </c>
      <c r="L41" s="27">
        <v>5.3380522162030659E-2</v>
      </c>
      <c r="M41" s="27">
        <v>3.3817433368683515E-2</v>
      </c>
      <c r="N41" s="27">
        <v>3.8984078366446524E-2</v>
      </c>
      <c r="O41" s="28">
        <v>144.27699999999999</v>
      </c>
      <c r="P41" s="29">
        <v>5.85266669142709</v>
      </c>
      <c r="R41" s="22">
        <f t="shared" si="1"/>
        <v>0</v>
      </c>
      <c r="T41" s="61">
        <f>H41*Data!AS20</f>
        <v>5.0214457366986778E-2</v>
      </c>
      <c r="U41" s="23"/>
    </row>
    <row r="42" spans="1:21" x14ac:dyDescent="0.2">
      <c r="A42" s="24">
        <v>1998</v>
      </c>
      <c r="B42" s="25">
        <v>0.26337617575054761</v>
      </c>
      <c r="C42" s="26">
        <v>8.7078018296611256E-2</v>
      </c>
      <c r="D42" s="26">
        <v>5.963310140445819E-2</v>
      </c>
      <c r="E42" s="26">
        <v>2.7686509470429069E-2</v>
      </c>
      <c r="F42" s="26">
        <v>6.4134776446334238E-2</v>
      </c>
      <c r="G42" s="26">
        <v>2.4843770132714858E-2</v>
      </c>
      <c r="H42" s="25">
        <v>0.29715641043968355</v>
      </c>
      <c r="I42" s="27">
        <v>8.3084778059884554E-2</v>
      </c>
      <c r="J42" s="27">
        <v>5.6898435358683545E-2</v>
      </c>
      <c r="K42" s="27">
        <v>2.6416856281317222E-2</v>
      </c>
      <c r="L42" s="27">
        <v>6.1193671734848853E-2</v>
      </c>
      <c r="M42" s="27">
        <v>2.3704479821949866E-2</v>
      </c>
      <c r="N42" s="27">
        <v>4.585818918299954E-2</v>
      </c>
      <c r="O42" s="28">
        <v>124.176</v>
      </c>
      <c r="P42" s="29">
        <v>5.9681762558043117</v>
      </c>
      <c r="R42" s="22">
        <f t="shared" si="1"/>
        <v>0</v>
      </c>
      <c r="T42" s="61">
        <f>H42*Data!AS21</f>
        <v>5.6559255268632737E-2</v>
      </c>
      <c r="U42" s="23"/>
    </row>
    <row r="43" spans="1:21" x14ac:dyDescent="0.2">
      <c r="A43" s="30">
        <v>1999</v>
      </c>
      <c r="B43" s="31">
        <v>0.24067316633323002</v>
      </c>
      <c r="C43" s="32">
        <v>7.9411930457324809E-2</v>
      </c>
      <c r="D43" s="32">
        <v>4.5422525289526332E-2</v>
      </c>
      <c r="E43" s="32">
        <v>2.5035926625151455E-2</v>
      </c>
      <c r="F43" s="32">
        <v>5.6376623742568119E-2</v>
      </c>
      <c r="G43" s="32">
        <v>3.4426160218659303E-2</v>
      </c>
      <c r="H43" s="31">
        <v>0.27232370018827079</v>
      </c>
      <c r="I43" s="33">
        <v>7.6101853844733086E-2</v>
      </c>
      <c r="J43" s="33">
        <v>4.352920727320491E-2</v>
      </c>
      <c r="K43" s="33">
        <v>2.3992370137867595E-2</v>
      </c>
      <c r="L43" s="33">
        <v>5.4026713059469426E-2</v>
      </c>
      <c r="M43" s="33">
        <v>3.2991196641462842E-2</v>
      </c>
      <c r="N43" s="33">
        <v>4.1682359231532899E-2</v>
      </c>
      <c r="O43" s="34">
        <v>141.95600000000002</v>
      </c>
      <c r="P43" s="35">
        <v>6.174425613543586</v>
      </c>
      <c r="R43" s="22">
        <f t="shared" si="1"/>
        <v>0</v>
      </c>
      <c r="T43" s="61">
        <f>H43*Data!AS22</f>
        <v>6.4219528219209648E-2</v>
      </c>
      <c r="U43" s="23"/>
    </row>
    <row r="44" spans="1:21" x14ac:dyDescent="0.2">
      <c r="A44" s="36">
        <v>2000</v>
      </c>
      <c r="B44" s="37">
        <v>0.24181115854898202</v>
      </c>
      <c r="C44" s="38">
        <v>7.2504429148151375E-2</v>
      </c>
      <c r="D44" s="38">
        <v>4.3873253753884581E-2</v>
      </c>
      <c r="E44" s="38">
        <v>2.1718799918677936E-2</v>
      </c>
      <c r="F44" s="38">
        <v>5.4898202201504459E-2</v>
      </c>
      <c r="G44" s="38">
        <v>4.8816473526763673E-2</v>
      </c>
      <c r="H44" s="37">
        <v>0.27312296193690111</v>
      </c>
      <c r="I44" s="39">
        <v>6.9510129699091372E-2</v>
      </c>
      <c r="J44" s="39">
        <v>4.2061369140941933E-2</v>
      </c>
      <c r="K44" s="39">
        <v>2.0821853464581212E-2</v>
      </c>
      <c r="L44" s="39">
        <v>5.263100751370875E-2</v>
      </c>
      <c r="M44" s="39">
        <v>4.6800443037266777E-2</v>
      </c>
      <c r="N44" s="39">
        <v>4.1298159081311042E-2</v>
      </c>
      <c r="O44" s="40">
        <v>172.15499999999997</v>
      </c>
      <c r="P44" s="41">
        <v>7.4159496448136055</v>
      </c>
      <c r="R44" s="22">
        <f t="shared" si="1"/>
        <v>0</v>
      </c>
      <c r="T44" s="61">
        <f>H44*Data!AS23</f>
        <v>8.1590933692576861E-2</v>
      </c>
      <c r="U44" s="23"/>
    </row>
    <row r="45" spans="1:21" x14ac:dyDescent="0.2">
      <c r="A45" s="24">
        <v>2001</v>
      </c>
      <c r="B45" s="25">
        <v>0.26986217935098233</v>
      </c>
      <c r="C45" s="26">
        <v>9.0043768325330384E-2</v>
      </c>
      <c r="D45" s="26">
        <v>4.8704655873312651E-2</v>
      </c>
      <c r="E45" s="26">
        <v>2.4589583421861499E-2</v>
      </c>
      <c r="F45" s="26">
        <v>7.0043485035198805E-2</v>
      </c>
      <c r="G45" s="26">
        <v>3.6480686695278972E-2</v>
      </c>
      <c r="H45" s="25">
        <v>0.30342349845328126</v>
      </c>
      <c r="I45" s="27">
        <v>8.5904840637330823E-2</v>
      </c>
      <c r="J45" s="27">
        <v>4.6465910733280165E-2</v>
      </c>
      <c r="K45" s="27">
        <v>2.3459305229889302E-2</v>
      </c>
      <c r="L45" s="27">
        <v>6.6823885001038363E-2</v>
      </c>
      <c r="M45" s="27">
        <v>3.4803825241693495E-2</v>
      </c>
      <c r="N45" s="27">
        <v>4.5965731610049056E-2</v>
      </c>
      <c r="O45" s="28">
        <v>141.19800000000001</v>
      </c>
      <c r="P45" s="29">
        <v>6.802973003085965</v>
      </c>
      <c r="R45" s="22">
        <f t="shared" si="1"/>
        <v>0</v>
      </c>
      <c r="T45" s="61">
        <f>H45*Data!AS24</f>
        <v>8.3852145151071547E-2</v>
      </c>
      <c r="U45" s="23"/>
    </row>
    <row r="46" spans="1:21" x14ac:dyDescent="0.2">
      <c r="A46" s="24">
        <v>2002</v>
      </c>
      <c r="B46" s="25">
        <v>0.2736751901930386</v>
      </c>
      <c r="C46" s="26">
        <v>0.11838739852555423</v>
      </c>
      <c r="D46" s="26">
        <v>3.2654983613635023E-2</v>
      </c>
      <c r="E46" s="26">
        <v>2.8167539951985662E-2</v>
      </c>
      <c r="F46" s="26">
        <v>6.1143055255738502E-2</v>
      </c>
      <c r="G46" s="26">
        <v>3.3322212846125167E-2</v>
      </c>
      <c r="H46" s="25">
        <v>0.30780806839633928</v>
      </c>
      <c r="I46" s="27">
        <v>0.11282390599422747</v>
      </c>
      <c r="J46" s="27">
        <v>3.1120396658370172E-2</v>
      </c>
      <c r="K46" s="27">
        <v>2.6843835739371387E-2</v>
      </c>
      <c r="L46" s="27">
        <v>5.826970103481291E-2</v>
      </c>
      <c r="M46" s="27">
        <v>3.175627014778399E-2</v>
      </c>
      <c r="N46" s="27">
        <v>4.6993958821773374E-2</v>
      </c>
      <c r="O46" s="28">
        <v>152.87100000000001</v>
      </c>
      <c r="P46" s="29">
        <v>7.538266462782893</v>
      </c>
      <c r="R46" s="22">
        <f t="shared" si="1"/>
        <v>0</v>
      </c>
      <c r="T46" s="61">
        <f>H46*Data!AS25</f>
        <v>7.3833007709015991E-2</v>
      </c>
      <c r="U46" s="23"/>
    </row>
    <row r="47" spans="1:21" x14ac:dyDescent="0.2">
      <c r="A47" s="24">
        <v>2003</v>
      </c>
      <c r="B47" s="25">
        <v>0.25758783049619705</v>
      </c>
      <c r="C47" s="26">
        <v>0.11267415187733913</v>
      </c>
      <c r="D47" s="26">
        <v>2.9713871785584933E-2</v>
      </c>
      <c r="E47" s="26">
        <v>2.5319328745623565E-2</v>
      </c>
      <c r="F47" s="26">
        <v>5.7824459736810337E-2</v>
      </c>
      <c r="G47" s="26">
        <v>3.2056018350839065E-2</v>
      </c>
      <c r="H47" s="25">
        <v>0.29046722676424919</v>
      </c>
      <c r="I47" s="27">
        <v>0.10768412310232893</v>
      </c>
      <c r="J47" s="27">
        <v>2.839792600071275E-2</v>
      </c>
      <c r="K47" s="27">
        <v>2.4198005204247839E-2</v>
      </c>
      <c r="L47" s="27">
        <v>5.5263573205352592E-2</v>
      </c>
      <c r="M47" s="27">
        <v>3.063634532630119E-2</v>
      </c>
      <c r="N47" s="27">
        <v>4.4287253925305914E-2</v>
      </c>
      <c r="O47" s="28">
        <v>207.07500000000002</v>
      </c>
      <c r="P47" s="29">
        <v>9.5957526403712698</v>
      </c>
      <c r="R47" s="22">
        <f t="shared" si="1"/>
        <v>0</v>
      </c>
      <c r="T47" s="61">
        <f>H47*Data!AS26</f>
        <v>7.2707241955720828E-2</v>
      </c>
      <c r="U47" s="23"/>
    </row>
    <row r="48" spans="1:21" x14ac:dyDescent="0.2">
      <c r="A48" s="24">
        <v>2004</v>
      </c>
      <c r="B48" s="25">
        <v>0.27582382334414118</v>
      </c>
      <c r="C48" s="26">
        <v>0.11435947179465379</v>
      </c>
      <c r="D48" s="26">
        <v>3.2392575445484864E-2</v>
      </c>
      <c r="E48" s="26">
        <v>3.4216638391114648E-2</v>
      </c>
      <c r="F48" s="26">
        <v>6.1728299640984224E-2</v>
      </c>
      <c r="G48" s="26">
        <v>3.3126838071903635E-2</v>
      </c>
      <c r="H48" s="25">
        <v>0.31000075762995749</v>
      </c>
      <c r="I48" s="27">
        <v>0.10896236501528522</v>
      </c>
      <c r="J48" s="27">
        <v>3.0863832912885945E-2</v>
      </c>
      <c r="K48" s="27">
        <v>3.2601810619266543E-2</v>
      </c>
      <c r="L48" s="27">
        <v>5.8815080305121357E-2</v>
      </c>
      <c r="M48" s="27">
        <v>3.1563442582827284E-2</v>
      </c>
      <c r="N48" s="27">
        <v>4.7194226194571129E-2</v>
      </c>
      <c r="O48" s="28">
        <v>258.76299999999998</v>
      </c>
      <c r="P48" s="29">
        <v>12.817008343695896</v>
      </c>
      <c r="R48" s="22">
        <f t="shared" si="1"/>
        <v>0</v>
      </c>
      <c r="T48" s="61">
        <f>H48*Data!AS27</f>
        <v>8.5600229850452902E-2</v>
      </c>
      <c r="U48" s="23"/>
    </row>
    <row r="49" spans="1:21" x14ac:dyDescent="0.2">
      <c r="A49" s="24">
        <v>2005</v>
      </c>
      <c r="B49" s="25">
        <v>0.23844894139665457</v>
      </c>
      <c r="C49" s="26">
        <v>9.4658655059686889E-2</v>
      </c>
      <c r="D49" s="26">
        <v>2.9535618200959176E-2</v>
      </c>
      <c r="E49" s="26">
        <v>3.413449403131176E-2</v>
      </c>
      <c r="F49" s="26">
        <v>5.6279281664214344E-2</v>
      </c>
      <c r="G49" s="26">
        <v>2.384089244048242E-2</v>
      </c>
      <c r="H49" s="25">
        <v>0.26940633772926098</v>
      </c>
      <c r="I49" s="27">
        <v>9.081073774949576E-2</v>
      </c>
      <c r="J49" s="27">
        <v>2.83349819097399E-2</v>
      </c>
      <c r="K49" s="27">
        <v>3.2746911349359649E-2</v>
      </c>
      <c r="L49" s="27">
        <v>5.3991503309616946E-2</v>
      </c>
      <c r="M49" s="27">
        <v>2.2871749337252271E-2</v>
      </c>
      <c r="N49" s="27">
        <v>4.0650454073796423E-2</v>
      </c>
      <c r="O49" s="28">
        <v>324.86200000000002</v>
      </c>
      <c r="P49" s="29">
        <v>13.765355774023046</v>
      </c>
      <c r="R49" s="22">
        <f t="shared" si="1"/>
        <v>-3.8163916471489756E-17</v>
      </c>
      <c r="T49" s="61">
        <f>H49*Data!AS28</f>
        <v>7.871814662486494E-2</v>
      </c>
      <c r="U49" s="23"/>
    </row>
    <row r="50" spans="1:21" x14ac:dyDescent="0.2">
      <c r="A50" s="24">
        <v>2006</v>
      </c>
      <c r="B50" s="25">
        <v>0.25735143112970665</v>
      </c>
      <c r="C50" s="26">
        <v>0.10365524738431713</v>
      </c>
      <c r="D50" s="26">
        <v>1.7146721942163358E-2</v>
      </c>
      <c r="E50" s="26">
        <v>3.8425415045413351E-2</v>
      </c>
      <c r="F50" s="26">
        <v>6.6563344569155067E-2</v>
      </c>
      <c r="G50" s="26">
        <v>3.1560702188657752E-2</v>
      </c>
      <c r="H50" s="25">
        <v>0.28992513035707901</v>
      </c>
      <c r="I50" s="27">
        <v>9.9108770095911652E-2</v>
      </c>
      <c r="J50" s="27">
        <v>1.6394640558462521E-2</v>
      </c>
      <c r="K50" s="27">
        <v>3.6740017719084091E-2</v>
      </c>
      <c r="L50" s="27">
        <v>6.3643774726232102E-2</v>
      </c>
      <c r="M50" s="27">
        <v>3.0176401641143245E-2</v>
      </c>
      <c r="N50" s="27">
        <v>4.3861525616245407E-2</v>
      </c>
      <c r="O50" s="28">
        <v>365.20100000000002</v>
      </c>
      <c r="P50" s="29">
        <v>16.75308906160528</v>
      </c>
      <c r="R50" s="22">
        <f t="shared" si="1"/>
        <v>0</v>
      </c>
      <c r="T50" s="61">
        <f>H50*Data!AS29</f>
        <v>8.5018613425477937E-2</v>
      </c>
      <c r="U50" s="23"/>
    </row>
    <row r="51" spans="1:21" x14ac:dyDescent="0.2">
      <c r="A51" s="24">
        <v>2007</v>
      </c>
      <c r="B51" s="25">
        <v>0.26148969133595518</v>
      </c>
      <c r="C51" s="26">
        <v>0.11278751042783935</v>
      </c>
      <c r="D51" s="26">
        <v>1.7831009414849244E-2</v>
      </c>
      <c r="E51" s="26">
        <v>3.6980097723751638E-2</v>
      </c>
      <c r="F51" s="26">
        <v>6.3284471457514008E-2</v>
      </c>
      <c r="G51" s="26">
        <v>3.0606602312000953E-2</v>
      </c>
      <c r="H51" s="25">
        <v>0.29445988325974304</v>
      </c>
      <c r="I51" s="27">
        <v>0.10775220378176283</v>
      </c>
      <c r="J51" s="27">
        <v>1.7034958505734735E-2</v>
      </c>
      <c r="K51" s="27">
        <v>3.5329151345605457E-2</v>
      </c>
      <c r="L51" s="27">
        <v>6.0459187713642962E-2</v>
      </c>
      <c r="M51" s="27">
        <v>2.9240195451428915E-2</v>
      </c>
      <c r="N51" s="27">
        <v>4.4644186461568161E-2</v>
      </c>
      <c r="O51" s="28">
        <v>419.55000000000007</v>
      </c>
      <c r="P51" s="29">
        <v>19.605751244216865</v>
      </c>
      <c r="R51" s="22">
        <f t="shared" si="1"/>
        <v>0</v>
      </c>
      <c r="T51" s="61">
        <f>H51*Data!AS30</f>
        <v>0.10617633122802318</v>
      </c>
      <c r="U51" s="23"/>
    </row>
    <row r="52" spans="1:21" x14ac:dyDescent="0.2">
      <c r="A52" s="24">
        <v>2008</v>
      </c>
      <c r="B52" s="25">
        <v>0.23418262615827837</v>
      </c>
      <c r="C52" s="26">
        <v>8.5540054947256861E-2</v>
      </c>
      <c r="D52" s="26">
        <v>7.5763985056483468E-3</v>
      </c>
      <c r="E52" s="26">
        <v>4.0998935786516102E-2</v>
      </c>
      <c r="F52" s="26">
        <v>7.0703405037870856E-2</v>
      </c>
      <c r="G52" s="26">
        <v>2.9363831880986201E-2</v>
      </c>
      <c r="H52" s="25">
        <v>0.26443750314237269</v>
      </c>
      <c r="I52" s="43">
        <v>8.216065415531712E-2</v>
      </c>
      <c r="J52" s="43">
        <v>7.2770804010969057E-3</v>
      </c>
      <c r="K52" s="43">
        <v>3.9379205285395097E-2</v>
      </c>
      <c r="L52" s="43">
        <v>6.7910150542942818E-2</v>
      </c>
      <c r="M52" s="43">
        <v>2.8203765327671784E-2</v>
      </c>
      <c r="N52" s="27">
        <v>3.9506647429948964E-2</v>
      </c>
      <c r="O52" s="28">
        <v>449.15799999999996</v>
      </c>
      <c r="P52" s="29">
        <v>18.474596100910393</v>
      </c>
      <c r="R52" s="22">
        <f t="shared" si="1"/>
        <v>0</v>
      </c>
      <c r="T52" s="61">
        <f>H52*Data!AS31</f>
        <v>0.12865820538786296</v>
      </c>
      <c r="U52" s="23"/>
    </row>
    <row r="53" spans="1:21" x14ac:dyDescent="0.2">
      <c r="A53" s="30">
        <v>2009</v>
      </c>
      <c r="B53" s="31">
        <v>0.30254666034579197</v>
      </c>
      <c r="C53" s="32">
        <v>0.11080844488924674</v>
      </c>
      <c r="D53" s="32">
        <v>3.6886818718818902E-2</v>
      </c>
      <c r="E53" s="32">
        <v>5.6769982868422969E-2</v>
      </c>
      <c r="F53" s="32">
        <v>6.4013905924315051E-2</v>
      </c>
      <c r="G53" s="32">
        <v>3.4067507944988321E-2</v>
      </c>
      <c r="H53" s="31">
        <v>0.33879156828500212</v>
      </c>
      <c r="I53" s="44">
        <v>0.1050500067894464</v>
      </c>
      <c r="J53" s="44">
        <v>3.4969902887149386E-2</v>
      </c>
      <c r="K53" s="44">
        <v>5.3819788660740657E-2</v>
      </c>
      <c r="L53" s="44">
        <v>6.0687263129534846E-2</v>
      </c>
      <c r="M53" s="44">
        <v>3.2297104652064659E-2</v>
      </c>
      <c r="N53" s="33">
        <v>5.1967502166066194E-2</v>
      </c>
      <c r="O53" s="34">
        <v>398.67900000000003</v>
      </c>
      <c r="P53" s="35">
        <v>21.854052306648168</v>
      </c>
      <c r="R53" s="22">
        <f t="shared" si="1"/>
        <v>0</v>
      </c>
      <c r="T53" s="61">
        <f>H53*Data!AS32</f>
        <v>0.12974999013052349</v>
      </c>
      <c r="U53" s="23"/>
    </row>
    <row r="54" spans="1:21" x14ac:dyDescent="0.2">
      <c r="A54" s="24">
        <v>2010</v>
      </c>
      <c r="B54" s="25">
        <v>0.26530674333348547</v>
      </c>
      <c r="C54" s="26">
        <v>0.11167756474195574</v>
      </c>
      <c r="D54" s="26">
        <v>1.2225836804853826E-2</v>
      </c>
      <c r="E54" s="26">
        <v>4.6977984366749027E-2</v>
      </c>
      <c r="F54" s="26">
        <v>6.01686756937065E-2</v>
      </c>
      <c r="G54" s="26">
        <v>3.4256681726220359E-2</v>
      </c>
      <c r="H54" s="25">
        <v>0.29872706526898118</v>
      </c>
      <c r="I54" s="43">
        <v>0.10659748522199022</v>
      </c>
      <c r="J54" s="43">
        <v>1.1669698037767644E-2</v>
      </c>
      <c r="K54" s="43">
        <v>4.4841011763324015E-2</v>
      </c>
      <c r="L54" s="43">
        <v>5.7431674239194909E-2</v>
      </c>
      <c r="M54" s="43">
        <v>3.2698386041124981E-2</v>
      </c>
      <c r="N54" s="27">
        <v>4.5488809965579434E-2</v>
      </c>
      <c r="O54" s="28">
        <v>460.17300000000006</v>
      </c>
      <c r="P54" s="29">
        <v>21.930305654704512</v>
      </c>
      <c r="R54" s="22">
        <f t="shared" si="1"/>
        <v>0</v>
      </c>
      <c r="T54" s="61">
        <f>H54*Data!AS33</f>
        <v>0.11286744541762617</v>
      </c>
      <c r="U54" s="23"/>
    </row>
    <row r="55" spans="1:21" x14ac:dyDescent="0.2">
      <c r="A55" s="24">
        <v>2011</v>
      </c>
      <c r="B55" s="25">
        <v>0.27559669784418844</v>
      </c>
      <c r="C55" s="26">
        <v>0.1120180791604882</v>
      </c>
      <c r="D55" s="26">
        <v>2.9155854340139158E-2</v>
      </c>
      <c r="E55" s="26">
        <v>4.7832069122847043E-2</v>
      </c>
      <c r="F55" s="26">
        <v>4.3961018592448955E-2</v>
      </c>
      <c r="G55" s="26">
        <v>4.2629676628265084E-2</v>
      </c>
      <c r="H55" s="25">
        <v>0.30974506466145546</v>
      </c>
      <c r="I55" s="43">
        <v>0.10673754765827918</v>
      </c>
      <c r="J55" s="43">
        <v>2.7781447561601686E-2</v>
      </c>
      <c r="K55" s="43">
        <v>4.5577265704399177E-2</v>
      </c>
      <c r="L55" s="43">
        <v>4.1888696470106186E-2</v>
      </c>
      <c r="M55" s="43">
        <v>4.0620113957207084E-2</v>
      </c>
      <c r="N55" s="27">
        <v>4.713999330986212E-2</v>
      </c>
      <c r="O55" s="28">
        <v>561.08799999999997</v>
      </c>
      <c r="P55" s="29">
        <v>27.758206221834989</v>
      </c>
      <c r="R55" s="22">
        <f t="shared" si="1"/>
        <v>0</v>
      </c>
      <c r="T55" s="61">
        <f>H55*Data!AS34</f>
        <v>0.12192812641972495</v>
      </c>
      <c r="U55" s="23"/>
    </row>
    <row r="56" spans="1:21" x14ac:dyDescent="0.2">
      <c r="A56" s="24">
        <v>2012</v>
      </c>
      <c r="B56" s="25">
        <v>0.30140233354190438</v>
      </c>
      <c r="C56" s="26">
        <v>0.1279730575288012</v>
      </c>
      <c r="D56" s="26">
        <v>3.6037395561117451E-2</v>
      </c>
      <c r="E56" s="26">
        <v>4.3691339394162462E-2</v>
      </c>
      <c r="F56" s="26">
        <v>4.9703706430122563E-2</v>
      </c>
      <c r="G56" s="26">
        <v>4.3996834627700689E-2</v>
      </c>
      <c r="H56" s="25">
        <v>0.33746867314837736</v>
      </c>
      <c r="I56" s="43">
        <v>0.12136622218577291</v>
      </c>
      <c r="J56" s="43">
        <v>3.417690130348594E-2</v>
      </c>
      <c r="K56" s="43">
        <v>4.1435696754471438E-2</v>
      </c>
      <c r="L56" s="43">
        <v>4.7137664712723328E-2</v>
      </c>
      <c r="M56" s="43">
        <v>4.1725420256482397E-2</v>
      </c>
      <c r="N56" s="27">
        <v>5.1626767935441339E-2</v>
      </c>
      <c r="O56" s="28">
        <v>543.38</v>
      </c>
      <c r="P56" s="29">
        <v>29.580076927825459</v>
      </c>
      <c r="R56" s="22">
        <f t="shared" si="1"/>
        <v>0</v>
      </c>
      <c r="T56" s="61">
        <f>H56*Data!AS35</f>
        <v>0.11882203140667882</v>
      </c>
      <c r="U56" s="23"/>
    </row>
    <row r="57" spans="1:21" x14ac:dyDescent="0.2">
      <c r="A57" s="24">
        <v>2013</v>
      </c>
      <c r="B57" s="25">
        <v>0.29897445117113453</v>
      </c>
      <c r="C57" s="26">
        <v>0.12066418356698702</v>
      </c>
      <c r="D57" s="26">
        <v>1.1549149349456545E-2</v>
      </c>
      <c r="E57" s="26">
        <v>6.7893755642668141E-2</v>
      </c>
      <c r="F57" s="26">
        <v>4.7201041182195161E-2</v>
      </c>
      <c r="G57" s="26">
        <v>5.1666321429827682E-2</v>
      </c>
      <c r="H57" s="25">
        <v>0.33490306562388955</v>
      </c>
      <c r="I57" s="43">
        <v>0.11447996255410485</v>
      </c>
      <c r="J57" s="43">
        <v>1.0957238063302828E-2</v>
      </c>
      <c r="K57" s="43">
        <v>6.4414098482796958E-2</v>
      </c>
      <c r="L57" s="43">
        <v>4.4781916781897878E-2</v>
      </c>
      <c r="M57" s="43">
        <v>4.901834469638975E-2</v>
      </c>
      <c r="N57" s="27">
        <v>5.1251505045397293E-2</v>
      </c>
      <c r="O57" s="28">
        <v>511.726</v>
      </c>
      <c r="P57" s="29">
        <v>27.643498577687772</v>
      </c>
      <c r="R57" s="22">
        <f t="shared" si="1"/>
        <v>0</v>
      </c>
      <c r="T57" s="61">
        <f>H57*Data!AS36</f>
        <v>0.11897232316937947</v>
      </c>
      <c r="U57" s="23"/>
    </row>
    <row r="58" spans="1:21" x14ac:dyDescent="0.2">
      <c r="A58" s="24">
        <v>2014</v>
      </c>
      <c r="B58" s="25">
        <v>0.33766189244098976</v>
      </c>
      <c r="C58" s="26">
        <v>0.11109547368762923</v>
      </c>
      <c r="D58" s="26">
        <v>3.9963841465394986E-2</v>
      </c>
      <c r="E58" s="26">
        <v>6.8897886421784613E-2</v>
      </c>
      <c r="F58" s="26">
        <v>6.5559897947768606E-2</v>
      </c>
      <c r="G58" s="26">
        <v>5.2144792918412342E-2</v>
      </c>
      <c r="H58" s="25">
        <v>0.37616149902966656</v>
      </c>
      <c r="I58" s="43">
        <v>0.10463784731532307</v>
      </c>
      <c r="J58" s="43">
        <v>3.7640870528602141E-2</v>
      </c>
      <c r="K58" s="43">
        <v>6.4893071521724341E-2</v>
      </c>
      <c r="L58" s="43">
        <v>6.1749109696002474E-2</v>
      </c>
      <c r="M58" s="43">
        <v>4.9113782034249931E-2</v>
      </c>
      <c r="N58" s="27">
        <v>5.812681793376457E-2</v>
      </c>
      <c r="O58" s="28">
        <v>554.226</v>
      </c>
      <c r="P58" s="29">
        <v>34.203536537144039</v>
      </c>
      <c r="R58" s="22">
        <f t="shared" si="1"/>
        <v>0</v>
      </c>
      <c r="T58" s="61">
        <f>H58*Data!AS37</f>
        <v>0.12761729837827052</v>
      </c>
      <c r="U58" s="23"/>
    </row>
    <row r="59" spans="1:21" x14ac:dyDescent="0.2">
      <c r="A59" s="24">
        <v>2015</v>
      </c>
      <c r="B59" s="25">
        <v>0.42995851004207553</v>
      </c>
      <c r="C59" s="26">
        <v>0.15391854249792969</v>
      </c>
      <c r="D59" s="26">
        <v>6.8646641070039399E-2</v>
      </c>
      <c r="E59" s="26">
        <v>8.2946456205509125E-2</v>
      </c>
      <c r="F59" s="26">
        <v>6.4859427672798148E-2</v>
      </c>
      <c r="G59" s="26">
        <v>5.9587442595799144E-2</v>
      </c>
      <c r="H59" s="25">
        <v>0.47205436030883263</v>
      </c>
      <c r="I59" s="43">
        <v>0.14255212087351671</v>
      </c>
      <c r="J59" s="43">
        <v>6.3577293005544128E-2</v>
      </c>
      <c r="K59" s="43">
        <v>7.6821109784070626E-2</v>
      </c>
      <c r="L59" s="43">
        <v>6.0069753931851315E-2</v>
      </c>
      <c r="M59" s="43">
        <v>5.5187089103149164E-2</v>
      </c>
      <c r="N59" s="27">
        <v>7.3846993610700656E-2</v>
      </c>
      <c r="O59" s="28">
        <v>478.18800000000005</v>
      </c>
      <c r="P59" s="29">
        <v>38.128414999573373</v>
      </c>
      <c r="R59" s="22">
        <f t="shared" si="1"/>
        <v>0</v>
      </c>
      <c r="T59" s="61">
        <f>H59*Data!AS38</f>
        <v>0.15304217009921328</v>
      </c>
      <c r="U59" s="23"/>
    </row>
    <row r="60" spans="1:21" x14ac:dyDescent="0.2">
      <c r="A60" s="24">
        <v>2016</v>
      </c>
      <c r="B60" s="25">
        <v>0.48051095394964177</v>
      </c>
      <c r="C60" s="26">
        <v>0.17718215116680872</v>
      </c>
      <c r="D60" s="26">
        <v>9.92927733880071E-2</v>
      </c>
      <c r="E60" s="26">
        <v>9.7954341265636152E-2</v>
      </c>
      <c r="F60" s="26">
        <v>4.4066898569421087E-2</v>
      </c>
      <c r="G60" s="26">
        <v>6.2014789559768711E-2</v>
      </c>
      <c r="H60" s="25">
        <v>0.52326130944155103</v>
      </c>
      <c r="I60" s="43">
        <v>0.16260128558977396</v>
      </c>
      <c r="J60" s="43">
        <v>9.1121664887475945E-2</v>
      </c>
      <c r="K60" s="43">
        <v>8.9893376471633896E-2</v>
      </c>
      <c r="L60" s="43">
        <v>4.0440497601794051E-2</v>
      </c>
      <c r="M60" s="43">
        <v>5.6911401298567407E-2</v>
      </c>
      <c r="N60" s="27">
        <v>8.2293083592305832E-2</v>
      </c>
      <c r="O60" s="28">
        <v>434.09</v>
      </c>
      <c r="P60" s="29">
        <v>38.925940317000027</v>
      </c>
      <c r="R60" s="22">
        <f t="shared" si="1"/>
        <v>0</v>
      </c>
      <c r="T60" s="61">
        <f>H60*Data!AS39</f>
        <v>0.17631206314868178</v>
      </c>
      <c r="U60" s="23"/>
    </row>
    <row r="61" spans="1:21" x14ac:dyDescent="0.2">
      <c r="A61" s="24">
        <v>2017</v>
      </c>
      <c r="B61" s="25">
        <v>0.45771324324976387</v>
      </c>
      <c r="C61" s="26">
        <v>0.15082223991477878</v>
      </c>
      <c r="D61" s="26">
        <v>0.10906162020514705</v>
      </c>
      <c r="E61" s="26">
        <v>6.8464626331349421E-2</v>
      </c>
      <c r="F61" s="26">
        <v>6.4678666674090113E-2</v>
      </c>
      <c r="G61" s="26">
        <v>6.4686090124398465E-2</v>
      </c>
      <c r="H61" s="25">
        <v>0.49019833626441106</v>
      </c>
      <c r="I61" s="43">
        <v>0.14178739915696617</v>
      </c>
      <c r="J61" s="43">
        <v>0.10252840353962538</v>
      </c>
      <c r="K61" s="43">
        <v>6.4363328029478264E-2</v>
      </c>
      <c r="L61" s="43">
        <v>6.0804162130474834E-2</v>
      </c>
      <c r="M61" s="43">
        <v>6.0811140887139542E-2</v>
      </c>
      <c r="N61" s="27">
        <v>5.9903902520726908E-2</v>
      </c>
      <c r="O61" s="28">
        <v>538.83299999999997</v>
      </c>
      <c r="P61" s="29">
        <v>34.335000000000001</v>
      </c>
      <c r="R61" s="22">
        <f t="shared" si="1"/>
        <v>0</v>
      </c>
      <c r="T61" s="61">
        <f>H61*Data!AS40</f>
        <v>0.18892872485656906</v>
      </c>
      <c r="U61" s="23"/>
    </row>
    <row r="62" spans="1:21" x14ac:dyDescent="0.2">
      <c r="A62" s="24">
        <v>2018</v>
      </c>
      <c r="B62" s="25">
        <v>0.47367200435788598</v>
      </c>
      <c r="C62" s="26">
        <v>0.17905446099026848</v>
      </c>
      <c r="D62" s="26">
        <v>5.6533862607935886E-2</v>
      </c>
      <c r="E62" s="26">
        <v>7.2433674377464119E-2</v>
      </c>
      <c r="F62" s="26">
        <v>7.126869495337386E-2</v>
      </c>
      <c r="G62" s="26">
        <v>9.4381311428843664E-2</v>
      </c>
      <c r="H62" s="25">
        <v>0.50713470415725304</v>
      </c>
      <c r="I62" s="43">
        <v>0.16767059821750244</v>
      </c>
      <c r="J62" s="43">
        <v>5.2939572187111747E-2</v>
      </c>
      <c r="K62" s="43">
        <v>6.7828511207108449E-2</v>
      </c>
      <c r="L62" s="43">
        <v>6.6737598443092405E-2</v>
      </c>
      <c r="M62" s="43">
        <v>8.8380768958818037E-2</v>
      </c>
      <c r="N62" s="27">
        <v>6.3577655143620002E-2</v>
      </c>
      <c r="O62" s="28">
        <v>556.23300000000006</v>
      </c>
      <c r="P62" s="29">
        <v>37.765000000000001</v>
      </c>
      <c r="R62" s="22">
        <f t="shared" si="1"/>
        <v>0</v>
      </c>
      <c r="T62" s="61">
        <f>H62*Data!AS41</f>
        <v>0.1912227688264361</v>
      </c>
      <c r="U62" s="23"/>
    </row>
    <row r="63" spans="1:21" x14ac:dyDescent="0.2">
      <c r="A63" s="24">
        <v>2019</v>
      </c>
      <c r="B63" s="25">
        <v>0.45228023263325418</v>
      </c>
      <c r="C63" s="26">
        <v>0.16256726573709937</v>
      </c>
      <c r="D63" s="26">
        <v>6.1564421441253445E-2</v>
      </c>
      <c r="E63" s="26">
        <v>7.9536534422243843E-2</v>
      </c>
      <c r="F63" s="26">
        <v>6.1284494183189882E-2</v>
      </c>
      <c r="G63" s="26">
        <v>8.7327516849467643E-2</v>
      </c>
      <c r="H63" s="25">
        <v>0.48585934499670164</v>
      </c>
      <c r="I63" s="43">
        <v>0.15260073758156303</v>
      </c>
      <c r="J63" s="43">
        <v>5.7790085095670601E-2</v>
      </c>
      <c r="K63" s="43">
        <v>7.4660379889417886E-2</v>
      </c>
      <c r="L63" s="43">
        <v>5.7527319366936717E-2</v>
      </c>
      <c r="M63" s="43">
        <v>8.1973719752081453E-2</v>
      </c>
      <c r="N63" s="27">
        <v>6.1307103311031931E-2</v>
      </c>
      <c r="O63" s="28">
        <v>510.84699999999998</v>
      </c>
      <c r="P63" s="29">
        <v>33.363999999999997</v>
      </c>
      <c r="R63" s="22">
        <f t="shared" si="1"/>
        <v>0</v>
      </c>
      <c r="T63" s="61">
        <f>H63*Data!AS42</f>
        <v>0.17913853406874874</v>
      </c>
      <c r="U63" s="23"/>
    </row>
    <row r="64" spans="1:21" ht="17" thickBot="1" x14ac:dyDescent="0.25">
      <c r="A64" s="62">
        <v>2020</v>
      </c>
      <c r="B64" s="64">
        <v>0.48140354775909683</v>
      </c>
      <c r="C64" s="63">
        <v>0.20551122592831794</v>
      </c>
      <c r="D64" s="63">
        <v>6.7341680729459646E-2</v>
      </c>
      <c r="E64" s="63">
        <v>5.7758147739189011E-2</v>
      </c>
      <c r="F64" s="63">
        <v>4.7207001997726802E-2</v>
      </c>
      <c r="G64" s="63">
        <v>0.10358549136440343</v>
      </c>
      <c r="H64" s="65">
        <v>0.51954491351855636</v>
      </c>
      <c r="I64" s="63">
        <v>0.19039643136708237</v>
      </c>
      <c r="J64" s="63">
        <v>6.2388882335910445E-2</v>
      </c>
      <c r="K64" s="63">
        <v>5.3510192264387663E-2</v>
      </c>
      <c r="L64" s="63">
        <v>4.3735054741199049E-2</v>
      </c>
      <c r="M64" s="63">
        <v>9.5967058773067979E-2</v>
      </c>
      <c r="N64" s="63">
        <v>7.3547294036908753E-2</v>
      </c>
      <c r="O64" s="114">
        <v>431.99100000000004</v>
      </c>
      <c r="P64" s="113">
        <v>34.293999999999997</v>
      </c>
      <c r="R64" s="22">
        <f t="shared" si="1"/>
        <v>0</v>
      </c>
      <c r="T64" s="61">
        <f>H64*Data!AS43</f>
        <v>0.1747331393496484</v>
      </c>
    </row>
    <row r="65" spans="1:16" ht="18" thickTop="1" thickBot="1" x14ac:dyDescent="0.25">
      <c r="H65" s="42"/>
    </row>
    <row r="66" spans="1:16" s="45" customFormat="1" ht="16" customHeight="1" x14ac:dyDescent="0.2">
      <c r="A66" s="117" t="s">
        <v>40</v>
      </c>
      <c r="B66" s="118"/>
      <c r="C66" s="118"/>
      <c r="D66" s="118"/>
      <c r="E66" s="118"/>
      <c r="F66" s="118"/>
      <c r="G66" s="118"/>
      <c r="H66" s="118"/>
      <c r="I66" s="118"/>
      <c r="J66" s="118"/>
      <c r="K66" s="118"/>
      <c r="L66" s="118"/>
      <c r="M66" s="118"/>
      <c r="N66" s="118"/>
      <c r="O66" s="118"/>
      <c r="P66" s="119"/>
    </row>
    <row r="67" spans="1:16" s="45" customFormat="1" x14ac:dyDescent="0.2">
      <c r="A67" s="50" t="s">
        <v>29</v>
      </c>
      <c r="B67" s="1"/>
      <c r="C67" s="1"/>
      <c r="D67" s="1"/>
      <c r="E67" s="1"/>
      <c r="F67" s="1"/>
      <c r="G67" s="1"/>
      <c r="H67" s="1"/>
      <c r="P67" s="46"/>
    </row>
    <row r="68" spans="1:16" s="45" customFormat="1" x14ac:dyDescent="0.2">
      <c r="A68" s="50" t="s">
        <v>152</v>
      </c>
      <c r="B68" s="1"/>
      <c r="C68" s="1"/>
      <c r="D68" s="1"/>
      <c r="E68" s="1"/>
      <c r="F68" s="1"/>
      <c r="G68" s="1"/>
      <c r="H68" s="1"/>
      <c r="P68" s="46"/>
    </row>
    <row r="69" spans="1:16" s="45" customFormat="1" ht="17" thickBot="1" x14ac:dyDescent="0.25">
      <c r="A69" s="51" t="s">
        <v>151</v>
      </c>
      <c r="B69" s="47"/>
      <c r="C69" s="47"/>
      <c r="D69" s="47"/>
      <c r="E69" s="47"/>
      <c r="F69" s="47"/>
      <c r="G69" s="47"/>
      <c r="H69" s="47"/>
      <c r="I69" s="48"/>
      <c r="J69" s="48"/>
      <c r="K69" s="48"/>
      <c r="L69" s="48"/>
      <c r="M69" s="48"/>
      <c r="N69" s="48"/>
      <c r="O69" s="48"/>
      <c r="P69" s="49"/>
    </row>
    <row r="71" spans="1:16" s="45" customFormat="1" x14ac:dyDescent="0.2">
      <c r="A71" s="1"/>
      <c r="B71" s="1"/>
      <c r="C71" s="1"/>
      <c r="D71" s="1"/>
      <c r="E71" s="1"/>
      <c r="F71" s="1"/>
      <c r="G71" s="1"/>
      <c r="H71" s="1"/>
    </row>
  </sheetData>
  <mergeCells count="10">
    <mergeCell ref="A66:P66"/>
    <mergeCell ref="A3:P3"/>
    <mergeCell ref="B6:G6"/>
    <mergeCell ref="H6:N6"/>
    <mergeCell ref="O6:O9"/>
    <mergeCell ref="P6:P9"/>
    <mergeCell ref="B7:G7"/>
    <mergeCell ref="H7:N7"/>
    <mergeCell ref="B8:B9"/>
    <mergeCell ref="H8:H9"/>
  </mergeCells>
  <pageMargins left="0.75" right="0.75" top="1" bottom="1" header="0.5" footer="0.5"/>
  <pageSetup scale="48"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1B99C-315E-454E-8B2A-D55FF77FD6A2}">
  <dimension ref="A1:H48"/>
  <sheetViews>
    <sheetView workbookViewId="0">
      <pane xSplit="1" ySplit="3" topLeftCell="B6" activePane="bottomRight" state="frozen"/>
      <selection activeCell="B38" sqref="B38:B42"/>
      <selection pane="topRight" activeCell="B38" sqref="B38:B42"/>
      <selection pane="bottomLeft" activeCell="B38" sqref="B38:B42"/>
      <selection pane="bottomRight" activeCell="D44" sqref="D44"/>
    </sheetView>
  </sheetViews>
  <sheetFormatPr baseColWidth="10" defaultColWidth="11.5703125" defaultRowHeight="16" x14ac:dyDescent="0.2"/>
  <sheetData>
    <row r="1" spans="1:8" x14ac:dyDescent="0.2">
      <c r="A1" s="58" t="s">
        <v>44</v>
      </c>
    </row>
    <row r="3" spans="1:8" s="9" customFormat="1" ht="51" x14ac:dyDescent="0.2">
      <c r="B3" s="9" t="s">
        <v>45</v>
      </c>
      <c r="C3" s="9" t="s">
        <v>48</v>
      </c>
      <c r="D3" s="9" t="s">
        <v>57</v>
      </c>
      <c r="E3" s="9" t="s">
        <v>49</v>
      </c>
      <c r="F3" s="9" t="s">
        <v>47</v>
      </c>
      <c r="G3" s="9" t="s">
        <v>73</v>
      </c>
    </row>
    <row r="4" spans="1:8" x14ac:dyDescent="0.2">
      <c r="A4" s="59">
        <v>1980</v>
      </c>
    </row>
    <row r="5" spans="1:8" x14ac:dyDescent="0.2">
      <c r="A5" s="59">
        <v>1981</v>
      </c>
      <c r="G5">
        <v>4.2169999999999996</v>
      </c>
      <c r="H5" s="68" t="s">
        <v>77</v>
      </c>
    </row>
    <row r="6" spans="1:8" x14ac:dyDescent="0.2">
      <c r="A6" s="59">
        <v>1982</v>
      </c>
      <c r="B6" s="60">
        <f>WrightZucman!P26</f>
        <v>1.2242058813807779</v>
      </c>
      <c r="C6" s="60">
        <v>4.5150000000000006</v>
      </c>
      <c r="D6" s="60"/>
    </row>
    <row r="7" spans="1:8" x14ac:dyDescent="0.2">
      <c r="A7" s="59">
        <v>1983</v>
      </c>
      <c r="B7" s="60">
        <f>WrightZucman!P27</f>
        <v>1.2968610143495936</v>
      </c>
      <c r="C7" s="60">
        <v>4.9180000000000028</v>
      </c>
      <c r="D7" s="60"/>
      <c r="H7" t="s">
        <v>78</v>
      </c>
    </row>
    <row r="8" spans="1:8" x14ac:dyDescent="0.2">
      <c r="A8" s="59">
        <v>1984</v>
      </c>
      <c r="B8" s="60">
        <f>WrightZucman!P28</f>
        <v>1.3778310072752502</v>
      </c>
      <c r="C8" s="60">
        <v>5.5309999999999988</v>
      </c>
      <c r="D8" s="60"/>
      <c r="G8" s="60"/>
    </row>
    <row r="9" spans="1:8" x14ac:dyDescent="0.2">
      <c r="A9" s="59">
        <v>1985</v>
      </c>
      <c r="B9" s="60">
        <f>WrightZucman!P29</f>
        <v>1.4252327666235287</v>
      </c>
      <c r="C9" s="60">
        <v>6.0950000000000024</v>
      </c>
      <c r="D9" s="60"/>
      <c r="G9" s="60"/>
    </row>
    <row r="10" spans="1:8" x14ac:dyDescent="0.2">
      <c r="A10" s="59">
        <v>1986</v>
      </c>
      <c r="B10" s="60">
        <f>WrightZucman!P30</f>
        <v>1.4028693597711464</v>
      </c>
      <c r="C10" s="60">
        <v>6.777000000000001</v>
      </c>
      <c r="D10" s="60">
        <v>8.0500000000000007</v>
      </c>
      <c r="G10" s="60"/>
    </row>
    <row r="11" spans="1:8" x14ac:dyDescent="0.2">
      <c r="A11" s="59">
        <v>1987</v>
      </c>
      <c r="B11" s="60">
        <f>WrightZucman!P31</f>
        <v>2.0922788681226812</v>
      </c>
      <c r="C11" s="60">
        <v>7.6670000000000016</v>
      </c>
      <c r="D11" s="60">
        <v>9</v>
      </c>
      <c r="G11" s="60"/>
    </row>
    <row r="12" spans="1:8" x14ac:dyDescent="0.2">
      <c r="A12" s="59">
        <v>1988</v>
      </c>
      <c r="B12" s="60">
        <f>WrightZucman!P32</f>
        <v>1.9200252095678005</v>
      </c>
      <c r="C12" s="60">
        <v>8.4980000000000011</v>
      </c>
      <c r="D12" s="60">
        <v>9.9</v>
      </c>
      <c r="G12" s="60"/>
    </row>
    <row r="13" spans="1:8" x14ac:dyDescent="0.2">
      <c r="A13" s="59">
        <v>1989</v>
      </c>
      <c r="B13" s="60">
        <f>WrightZucman!P33</f>
        <v>2.5279606809383548</v>
      </c>
      <c r="C13" s="60">
        <v>9.0609999999999999</v>
      </c>
      <c r="D13" s="60">
        <v>10.5</v>
      </c>
      <c r="G13" s="60"/>
    </row>
    <row r="14" spans="1:8" x14ac:dyDescent="0.2">
      <c r="A14" s="59">
        <v>1990</v>
      </c>
      <c r="B14" s="60">
        <f>WrightZucman!P34</f>
        <v>2.8990918428529842</v>
      </c>
      <c r="C14" s="60">
        <v>9.6619999999999955</v>
      </c>
      <c r="D14" s="60">
        <v>11.1</v>
      </c>
      <c r="G14" s="60"/>
    </row>
    <row r="15" spans="1:8" x14ac:dyDescent="0.2">
      <c r="A15" s="59">
        <v>1991</v>
      </c>
      <c r="B15" s="60">
        <f>WrightZucman!P35</f>
        <v>2.6570173900400404</v>
      </c>
      <c r="C15" s="60">
        <v>10.478999999999999</v>
      </c>
      <c r="D15" s="60">
        <v>12</v>
      </c>
      <c r="G15" s="60"/>
    </row>
    <row r="16" spans="1:8" x14ac:dyDescent="0.2">
      <c r="A16" s="59">
        <v>1992</v>
      </c>
      <c r="B16" s="60">
        <f>WrightZucman!P36</f>
        <v>2.3984022137976133</v>
      </c>
      <c r="C16" s="60">
        <v>11.688000000000002</v>
      </c>
      <c r="D16" s="60">
        <v>13.2</v>
      </c>
      <c r="G16" s="60"/>
    </row>
    <row r="17" spans="1:8" x14ac:dyDescent="0.2">
      <c r="A17" s="59">
        <v>1993</v>
      </c>
      <c r="B17" s="60">
        <f>WrightZucman!P37</f>
        <v>2.5284972798067393</v>
      </c>
      <c r="C17" s="60">
        <v>12.781999999999996</v>
      </c>
      <c r="D17" s="60">
        <v>14.3</v>
      </c>
      <c r="E17" s="60"/>
      <c r="G17" s="60"/>
    </row>
    <row r="18" spans="1:8" x14ac:dyDescent="0.2">
      <c r="A18" s="59">
        <v>1994</v>
      </c>
      <c r="B18" s="60">
        <f>WrightZucman!P38</f>
        <v>2.8804182493140544</v>
      </c>
      <c r="C18" s="60">
        <v>13.895999999999997</v>
      </c>
      <c r="D18" s="60">
        <v>15.3</v>
      </c>
      <c r="E18" s="60"/>
      <c r="G18" s="60"/>
    </row>
    <row r="19" spans="1:8" x14ac:dyDescent="0.2">
      <c r="A19" s="59">
        <v>1995</v>
      </c>
      <c r="B19" s="60">
        <f>WrightZucman!P39</f>
        <v>4.3449844332506036</v>
      </c>
      <c r="C19" s="60">
        <v>14.891999999999996</v>
      </c>
      <c r="D19" s="60">
        <v>16.5</v>
      </c>
      <c r="E19" s="60"/>
      <c r="G19" s="60">
        <v>13.144</v>
      </c>
      <c r="H19" t="s">
        <v>74</v>
      </c>
    </row>
    <row r="20" spans="1:8" x14ac:dyDescent="0.2">
      <c r="A20" s="59">
        <v>1996</v>
      </c>
      <c r="B20" s="60">
        <f>WrightZucman!P40</f>
        <v>4.5867988740916914</v>
      </c>
      <c r="C20" s="60">
        <v>15.608999999999995</v>
      </c>
      <c r="D20" s="60">
        <v>17.399999999999999</v>
      </c>
      <c r="E20" s="60"/>
      <c r="G20" s="60"/>
      <c r="H20" t="s">
        <v>75</v>
      </c>
    </row>
    <row r="21" spans="1:8" x14ac:dyDescent="0.2">
      <c r="A21" s="59">
        <v>1997</v>
      </c>
      <c r="B21" s="60">
        <f>WrightZucman!P41</f>
        <v>5.85266669142709</v>
      </c>
      <c r="C21" s="60">
        <v>17.488</v>
      </c>
      <c r="D21" s="60">
        <v>19.399999999999999</v>
      </c>
      <c r="E21" s="60"/>
      <c r="G21" s="60"/>
      <c r="H21" t="s">
        <v>76</v>
      </c>
    </row>
    <row r="22" spans="1:8" x14ac:dyDescent="0.2">
      <c r="A22" s="59">
        <v>1998</v>
      </c>
      <c r="B22" s="60">
        <f>WrightZucman!P42</f>
        <v>5.9681762558043117</v>
      </c>
      <c r="C22" s="60">
        <v>19.338000000000001</v>
      </c>
      <c r="D22" s="60">
        <v>21.4</v>
      </c>
      <c r="E22" s="60"/>
      <c r="G22" s="60"/>
    </row>
    <row r="23" spans="1:8" x14ac:dyDescent="0.2">
      <c r="A23" s="59">
        <v>1999</v>
      </c>
      <c r="B23" s="60">
        <f>WrightZucman!P43</f>
        <v>6.174425613543586</v>
      </c>
      <c r="C23" s="60">
        <v>20.545999999999999</v>
      </c>
      <c r="D23" s="60">
        <v>22.1</v>
      </c>
      <c r="E23" s="60"/>
      <c r="G23" s="60"/>
    </row>
    <row r="24" spans="1:8" x14ac:dyDescent="0.2">
      <c r="A24" s="59">
        <v>2000</v>
      </c>
      <c r="B24" s="60">
        <f>WrightZucman!P44</f>
        <v>7.4159496448136055</v>
      </c>
      <c r="C24" s="60">
        <v>23.228999999999999</v>
      </c>
      <c r="D24" s="60">
        <v>25</v>
      </c>
      <c r="E24" s="60"/>
      <c r="G24" s="60"/>
    </row>
    <row r="25" spans="1:8" x14ac:dyDescent="0.2">
      <c r="A25" s="59">
        <v>2001</v>
      </c>
      <c r="B25" s="60">
        <f>WrightZucman!P45</f>
        <v>6.802973003085965</v>
      </c>
      <c r="C25" s="60">
        <v>26.277000000000001</v>
      </c>
      <c r="D25" s="60">
        <v>28.3</v>
      </c>
      <c r="E25" s="60"/>
      <c r="G25" s="60"/>
    </row>
    <row r="26" spans="1:8" x14ac:dyDescent="0.2">
      <c r="A26" s="59">
        <v>2002</v>
      </c>
      <c r="B26" s="60">
        <f>WrightZucman!P46</f>
        <v>7.538266462782893</v>
      </c>
      <c r="C26" s="60">
        <v>27.402000000000001</v>
      </c>
      <c r="D26" s="60">
        <v>29.4</v>
      </c>
      <c r="E26" s="60"/>
      <c r="G26" s="60"/>
    </row>
    <row r="27" spans="1:8" x14ac:dyDescent="0.2">
      <c r="A27" s="59">
        <v>2003</v>
      </c>
      <c r="B27" s="60">
        <f>WrightZucman!P47</f>
        <v>9.5957526403712698</v>
      </c>
      <c r="C27" s="60">
        <v>28.352999999999994</v>
      </c>
      <c r="D27" s="60">
        <v>30.5</v>
      </c>
      <c r="E27" s="60"/>
      <c r="G27" s="60"/>
    </row>
    <row r="28" spans="1:8" x14ac:dyDescent="0.2">
      <c r="A28" s="59">
        <v>2004</v>
      </c>
      <c r="B28" s="60">
        <f>WrightZucman!P48</f>
        <v>12.817008343695896</v>
      </c>
      <c r="C28" s="60">
        <v>29.621000000000009</v>
      </c>
      <c r="D28" s="60">
        <v>31.9</v>
      </c>
      <c r="E28" s="60">
        <v>3.2</v>
      </c>
      <c r="G28" s="60"/>
    </row>
    <row r="29" spans="1:8" x14ac:dyDescent="0.2">
      <c r="A29" s="59">
        <v>2005</v>
      </c>
      <c r="B29" s="60">
        <f>WrightZucman!P49</f>
        <v>13.765355774023046</v>
      </c>
      <c r="C29" s="60">
        <v>30.65</v>
      </c>
      <c r="D29" s="60">
        <v>33</v>
      </c>
      <c r="E29" s="60"/>
      <c r="G29" s="60"/>
    </row>
    <row r="30" spans="1:8" x14ac:dyDescent="0.2">
      <c r="A30" s="59">
        <v>2006</v>
      </c>
      <c r="B30" s="60">
        <f>WrightZucman!P50</f>
        <v>16.75308906160528</v>
      </c>
      <c r="C30" s="60">
        <v>30.418000000000006</v>
      </c>
      <c r="D30" s="60">
        <v>32.700000000000003</v>
      </c>
      <c r="E30" s="60">
        <f>2.558</f>
        <v>2.5579999999999998</v>
      </c>
      <c r="G30" s="60"/>
    </row>
    <row r="31" spans="1:8" x14ac:dyDescent="0.2">
      <c r="A31" s="59">
        <v>2007</v>
      </c>
      <c r="B31" s="60">
        <f>WrightZucman!P51</f>
        <v>19.605751244216865</v>
      </c>
      <c r="C31" s="60">
        <v>30.921999999999997</v>
      </c>
      <c r="D31" s="60">
        <v>33.200000000000003</v>
      </c>
      <c r="E31" s="60"/>
      <c r="G31" s="60"/>
    </row>
    <row r="32" spans="1:8" x14ac:dyDescent="0.2">
      <c r="A32" s="59">
        <v>2008</v>
      </c>
      <c r="B32" s="60">
        <f>WrightZucman!P52</f>
        <v>18.474596100910393</v>
      </c>
      <c r="C32" s="60">
        <v>32.545999999999992</v>
      </c>
      <c r="D32" s="60">
        <v>35</v>
      </c>
      <c r="E32" s="60">
        <f>6.456</f>
        <v>6.4560000000000004</v>
      </c>
      <c r="G32" s="60"/>
    </row>
    <row r="33" spans="1:7" x14ac:dyDescent="0.2">
      <c r="A33" s="59">
        <v>2009</v>
      </c>
      <c r="B33" s="60">
        <f>WrightZucman!P53</f>
        <v>21.854052306648168</v>
      </c>
      <c r="C33" s="60">
        <v>33.507000000000005</v>
      </c>
      <c r="D33" s="60">
        <v>36</v>
      </c>
      <c r="E33" s="60"/>
      <c r="G33" s="60"/>
    </row>
    <row r="34" spans="1:7" x14ac:dyDescent="0.2">
      <c r="A34" s="59">
        <v>2010</v>
      </c>
      <c r="B34" s="60">
        <f>WrightZucman!P54</f>
        <v>21.930305654704512</v>
      </c>
      <c r="C34" s="60">
        <v>34.155999999999949</v>
      </c>
      <c r="D34" s="60">
        <v>36.700000000000003</v>
      </c>
      <c r="E34" s="60">
        <v>7.7370000000000001</v>
      </c>
      <c r="G34" s="60"/>
    </row>
    <row r="35" spans="1:7" x14ac:dyDescent="0.2">
      <c r="A35" s="59">
        <v>2011</v>
      </c>
      <c r="B35" s="60">
        <f>WrightZucman!P55</f>
        <v>27.758206221834989</v>
      </c>
      <c r="C35" s="60">
        <v>33.882999999999981</v>
      </c>
      <c r="D35" s="60">
        <v>36.4</v>
      </c>
      <c r="E35" s="60"/>
      <c r="G35" s="60"/>
    </row>
    <row r="36" spans="1:7" x14ac:dyDescent="0.2">
      <c r="A36" s="59">
        <v>2012</v>
      </c>
      <c r="B36" s="60">
        <f>WrightZucman!P56</f>
        <v>29.580076927825459</v>
      </c>
      <c r="C36" s="60">
        <v>33.212999999999965</v>
      </c>
      <c r="D36" s="60">
        <v>35.799999999999997</v>
      </c>
      <c r="E36" s="60">
        <f>8.985</f>
        <v>8.9849999999999994</v>
      </c>
      <c r="G36" s="60"/>
    </row>
    <row r="37" spans="1:7" x14ac:dyDescent="0.2">
      <c r="A37" s="59">
        <v>2013</v>
      </c>
      <c r="B37" s="60">
        <f>WrightZucman!P57</f>
        <v>27.643498577687772</v>
      </c>
      <c r="C37" s="60">
        <v>33.135999999999967</v>
      </c>
      <c r="D37" s="60">
        <v>35.700000000000003</v>
      </c>
      <c r="E37" s="60"/>
      <c r="G37" s="60"/>
    </row>
    <row r="38" spans="1:7" x14ac:dyDescent="0.2">
      <c r="A38" s="59">
        <v>2014</v>
      </c>
      <c r="B38" s="60">
        <f>WrightZucman!P58</f>
        <v>34.203536537144039</v>
      </c>
      <c r="C38" s="60">
        <v>33.178999999999974</v>
      </c>
      <c r="D38" s="60">
        <v>35.700000000000003</v>
      </c>
      <c r="E38" s="60">
        <f>9.579</f>
        <v>9.5790000000000006</v>
      </c>
      <c r="G38" s="60"/>
    </row>
    <row r="39" spans="1:7" x14ac:dyDescent="0.2">
      <c r="A39" s="59">
        <v>2015</v>
      </c>
      <c r="B39" s="60">
        <f>WrightZucman!P59</f>
        <v>38.128414999573373</v>
      </c>
      <c r="C39" s="60">
        <v>33.170999999999992</v>
      </c>
      <c r="D39" s="60">
        <v>35.700000000000003</v>
      </c>
      <c r="E39" s="60"/>
      <c r="G39" s="60"/>
    </row>
    <row r="40" spans="1:7" x14ac:dyDescent="0.2">
      <c r="A40" s="59">
        <v>2016</v>
      </c>
      <c r="B40" s="60">
        <f>WrightZucman!P60</f>
        <v>38.925940317000027</v>
      </c>
      <c r="C40" s="60">
        <v>33.165999999999997</v>
      </c>
      <c r="D40" s="60">
        <v>35.700000000000003</v>
      </c>
      <c r="E40" s="60">
        <f>9.513</f>
        <v>9.5129999999999999</v>
      </c>
      <c r="G40" s="60"/>
    </row>
    <row r="41" spans="1:7" x14ac:dyDescent="0.2">
      <c r="A41" s="59">
        <v>2017</v>
      </c>
      <c r="B41" s="60">
        <f>WrightZucman!P61</f>
        <v>34.335000000000001</v>
      </c>
      <c r="C41" s="60">
        <v>33.211999999999989</v>
      </c>
      <c r="D41" s="60">
        <v>35.700000000000003</v>
      </c>
      <c r="E41" s="60"/>
      <c r="G41" s="60"/>
    </row>
    <row r="42" spans="1:7" x14ac:dyDescent="0.2">
      <c r="A42" s="59">
        <v>2018</v>
      </c>
      <c r="B42" s="60">
        <f>WrightZucman!P62</f>
        <v>37.765000000000001</v>
      </c>
      <c r="C42" s="60">
        <v>33.237000000000023</v>
      </c>
      <c r="D42" s="60">
        <v>35.700000000000003</v>
      </c>
      <c r="E42" s="60"/>
      <c r="G42" s="60"/>
    </row>
    <row r="43" spans="1:7" x14ac:dyDescent="0.2">
      <c r="A43" s="59">
        <v>2019</v>
      </c>
      <c r="B43" s="60">
        <f>WrightZucman!P63</f>
        <v>33.363999999999997</v>
      </c>
      <c r="C43" s="60">
        <v>32.88300000000001</v>
      </c>
      <c r="D43" s="60">
        <v>35.4</v>
      </c>
      <c r="E43" s="60"/>
      <c r="G43" s="60"/>
    </row>
    <row r="44" spans="1:7" x14ac:dyDescent="0.2">
      <c r="A44" s="59">
        <v>2020</v>
      </c>
      <c r="B44" s="60">
        <v>34.293999999999997</v>
      </c>
      <c r="C44" s="60">
        <v>32.623999999999995</v>
      </c>
      <c r="D44" s="60">
        <v>35.1</v>
      </c>
      <c r="G44" s="60"/>
    </row>
    <row r="45" spans="1:7" x14ac:dyDescent="0.2">
      <c r="B45" s="60"/>
      <c r="C45" s="60"/>
      <c r="D45" s="60"/>
    </row>
    <row r="48" spans="1:7" x14ac:dyDescent="0.2">
      <c r="B48" t="s">
        <v>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56CE-097F-4D3A-9513-138F9AF1E473}">
  <dimension ref="A1:D8"/>
  <sheetViews>
    <sheetView workbookViewId="0">
      <selection activeCell="A8" sqref="A2:I8"/>
    </sheetView>
  </sheetViews>
  <sheetFormatPr baseColWidth="10" defaultColWidth="8.7109375" defaultRowHeight="16" x14ac:dyDescent="0.2"/>
  <sheetData>
    <row r="1" spans="1:4" x14ac:dyDescent="0.2">
      <c r="B1" t="s">
        <v>153</v>
      </c>
      <c r="C1" t="s">
        <v>158</v>
      </c>
    </row>
    <row r="2" spans="1:4" x14ac:dyDescent="0.2">
      <c r="B2">
        <v>2020</v>
      </c>
      <c r="C2">
        <v>2020</v>
      </c>
    </row>
    <row r="3" spans="1:4" x14ac:dyDescent="0.2">
      <c r="B3" t="s">
        <v>154</v>
      </c>
      <c r="C3" t="s">
        <v>154</v>
      </c>
    </row>
    <row r="4" spans="1:4" x14ac:dyDescent="0.2">
      <c r="B4" t="s">
        <v>155</v>
      </c>
      <c r="C4" t="s">
        <v>157</v>
      </c>
    </row>
    <row r="5" spans="1:4" x14ac:dyDescent="0.2">
      <c r="B5" t="s">
        <v>161</v>
      </c>
      <c r="C5" t="s">
        <v>160</v>
      </c>
      <c r="D5" t="s">
        <v>159</v>
      </c>
    </row>
    <row r="6" spans="1:4" x14ac:dyDescent="0.2">
      <c r="A6" t="s">
        <v>163</v>
      </c>
      <c r="B6">
        <v>439354</v>
      </c>
      <c r="C6">
        <v>817256</v>
      </c>
      <c r="D6" s="116">
        <f>B6/(B6+C6)</f>
        <v>0.34963433364369217</v>
      </c>
    </row>
    <row r="7" spans="1:4" x14ac:dyDescent="0.2">
      <c r="A7" t="s">
        <v>156</v>
      </c>
      <c r="B7">
        <v>431.99100000000004</v>
      </c>
      <c r="C7" s="53">
        <v>686.94100000000003</v>
      </c>
      <c r="D7" s="116">
        <f>B7/(B7+C7)</f>
        <v>0.38607439951668199</v>
      </c>
    </row>
    <row r="8" spans="1:4" x14ac:dyDescent="0.2">
      <c r="A8" t="s">
        <v>162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Charts</vt:lpstr>
      </vt:variant>
      <vt:variant>
        <vt:i4>7</vt:i4>
      </vt:variant>
    </vt:vector>
  </HeadingPairs>
  <TitlesOfParts>
    <vt:vector size="14" baseType="lpstr">
      <vt:lpstr>MainTablesFigures</vt:lpstr>
      <vt:lpstr>Data</vt:lpstr>
      <vt:lpstr>AppendixTableFigures</vt:lpstr>
      <vt:lpstr>RawSources</vt:lpstr>
      <vt:lpstr>WrightZucman</vt:lpstr>
      <vt:lpstr>PuertoRico</vt:lpstr>
      <vt:lpstr>PJ_2025</vt:lpstr>
      <vt:lpstr>Fig1A</vt:lpstr>
      <vt:lpstr>Fig3</vt:lpstr>
      <vt:lpstr>Fig5</vt:lpstr>
      <vt:lpstr>FigA1</vt:lpstr>
      <vt:lpstr>FigA2</vt:lpstr>
      <vt:lpstr>FigA3</vt:lpstr>
      <vt:lpstr>FigA4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Zucman</dc:creator>
  <cp:lastModifiedBy>Gabriel Zucman</cp:lastModifiedBy>
  <dcterms:created xsi:type="dcterms:W3CDTF">2021-11-21T17:11:34Z</dcterms:created>
  <dcterms:modified xsi:type="dcterms:W3CDTF">2025-05-02T19:54:17Z</dcterms:modified>
</cp:coreProperties>
</file>